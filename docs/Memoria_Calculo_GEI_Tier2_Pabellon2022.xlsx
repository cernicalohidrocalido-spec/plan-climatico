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CRITERIOS" sheetId="2" state="visible" r:id="rId4"/>
    <sheet name="SUPUESTOS_FE" sheetId="3" state="visible" r:id="rId5"/>
    <sheet name="1_ENERGIA" sheetId="4" state="visible" r:id="rId6"/>
    <sheet name="2_AUTOTRANSPORTE" sheetId="5" state="visible" r:id="rId7"/>
    <sheet name="3B_ESTIERCOL" sheetId="6" state="visible" r:id="rId8"/>
    <sheet name="3_AFOLU" sheetId="7" state="visible" r:id="rId9"/>
    <sheet name="4A_RSU_FOD" sheetId="8" state="visible" r:id="rId10"/>
    <sheet name="4_RESIDUOS" sheetId="9" state="visible" r:id="rId11"/>
    <sheet name="5_IPPU" sheetId="10" state="visible" r:id="rId12"/>
    <sheet name="CONTROL_AUDITORIA"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<sst xmlns="http://schemas.openxmlformats.org/spreadsheetml/2006/main" count="823" uniqueCount="615">
  <si>
    <t xml:space="preserve">INVENTARIO DE EMISIONES GEI — PABELLÓN DE ARTEAGA, AÑO BASE 2022 — v1.4 (recálculo)</t>
  </si>
  <si>
    <t xml:space="preserve">IPCC 2006 Nivel 2 (AFOLU, IPPU) · Protocolo GPC · GWP AR5 (CH₄ = 28; N₂O = 265). Todas las cifras son fórmulas.</t>
  </si>
  <si>
    <t xml:space="preserve">Sector</t>
  </si>
  <si>
    <t xml:space="preserve">Código IPCC</t>
  </si>
  <si>
    <t xml:space="preserve">CO₂</t>
  </si>
  <si>
    <t xml:space="preserve">CH₄ (tCO₂e)</t>
  </si>
  <si>
    <t xml:space="preserve">N₂O (tCO₂e)</t>
  </si>
  <si>
    <t xml:space="preserve">HFC (tCO₂e)</t>
  </si>
  <si>
    <t xml:space="preserve">Total v1.4 (tCO₂e)</t>
  </si>
  <si>
    <t xml:space="preserve">% del total</t>
  </si>
  <si>
    <t xml:space="preserve">Total v1.0 (tCO₂e)</t>
  </si>
  <si>
    <t xml:space="preserve">Δ (tCO₂e)</t>
  </si>
  <si>
    <t xml:space="preserve">1. Energía estacionaria</t>
  </si>
  <si>
    <t xml:space="preserve">1.A</t>
  </si>
  <si>
    <t xml:space="preserve">2. Autotransporte</t>
  </si>
  <si>
    <t xml:space="preserve">1.A.3.b</t>
  </si>
  <si>
    <t xml:space="preserve">3. AFOLU</t>
  </si>
  <si>
    <t xml:space="preserve">3.A / 3.B / 3.C</t>
  </si>
  <si>
    <t xml:space="preserve">4. Residuos</t>
  </si>
  <si>
    <t xml:space="preserve">4.A / 4.D</t>
  </si>
  <si>
    <t xml:space="preserve">5. IPPU</t>
  </si>
  <si>
    <t xml:space="preserve">2.F / 2.H / 2.A</t>
  </si>
  <si>
    <t xml:space="preserve">TOTAL MUNICIPAL 2022</t>
  </si>
  <si>
    <t xml:space="preserve">—</t>
  </si>
  <si>
    <t xml:space="preserve">% por gas</t>
  </si>
  <si>
    <t xml:space="preserve">Indicadores</t>
  </si>
  <si>
    <t xml:space="preserve">Indicador</t>
  </si>
  <si>
    <t xml:space="preserve">v1.4</t>
  </si>
  <si>
    <t xml:space="preserve">v1.0</t>
  </si>
  <si>
    <t xml:space="preserve">Unidad</t>
  </si>
  <si>
    <t xml:space="preserve">Emisiones totales</t>
  </si>
  <si>
    <t xml:space="preserve">tCO₂e/año</t>
  </si>
  <si>
    <t xml:space="preserve">Población</t>
  </si>
  <si>
    <t xml:space="preserve">hab.</t>
  </si>
  <si>
    <t xml:space="preserve">Emisiones per cápita</t>
  </si>
  <si>
    <t xml:space="preserve">tCO₂e/hab/año</t>
  </si>
  <si>
    <t xml:space="preserve">Superficie (Decreto 185)</t>
  </si>
  <si>
    <t xml:space="preserve">km²</t>
  </si>
  <si>
    <t xml:space="preserve">Intensidad territorial</t>
  </si>
  <si>
    <t xml:space="preserve">tCO₂e/km²</t>
  </si>
  <si>
    <t xml:space="preserve">Participación de CO₂</t>
  </si>
  <si>
    <t xml:space="preserve">%</t>
  </si>
  <si>
    <t xml:space="preserve">Incertidumbre AFOLU (Método 1)</t>
  </si>
  <si>
    <t xml:space="preserve">±12–18 %</t>
  </si>
  <si>
    <t xml:space="preserve">±%</t>
  </si>
  <si>
    <t xml:space="preserve">Medidas de mitigación cuantificadas del PAC 2026-2030 (tCO₂e/año al 2030)</t>
  </si>
  <si>
    <t xml:space="preserve">Medida</t>
  </si>
  <si>
    <t xml:space="preserve">Reducción</t>
  </si>
  <si>
    <t xml:space="preserve">Eje</t>
  </si>
  <si>
    <t xml:space="preserve">Nota</t>
  </si>
  <si>
    <t xml:space="preserve">E1-A Eficiencia energética</t>
  </si>
  <si>
    <t xml:space="preserve">Energía</t>
  </si>
  <si>
    <t xml:space="preserve">E1-B Fotovoltaica 5 MWp</t>
  </si>
  <si>
    <t xml:space="preserve">5 MWp × 1,900 kWh/kWp × 0.454</t>
  </si>
  <si>
    <t xml:space="preserve">E1-C Gas LP → solar/biogás</t>
  </si>
  <si>
    <t xml:space="preserve">T2-A Movilidad no motorizada</t>
  </si>
  <si>
    <t xml:space="preserve">Transporte</t>
  </si>
  <si>
    <t xml:space="preserve">T2-B Flota y verificación</t>
  </si>
  <si>
    <t xml:space="preserve">T2-C Gestión de la demanda</t>
  </si>
  <si>
    <t xml:space="preserve">M3-A Biodigestores porcinos</t>
  </si>
  <si>
    <t xml:space="preserve">AFOLU</t>
  </si>
  <si>
    <t xml:space="preserve">80 % de la laguna, −5 % fugas</t>
  </si>
  <si>
    <t xml:space="preserve">M3-B Estiércol bovino/avícola</t>
  </si>
  <si>
    <t xml:space="preserve">M3-C Fertilizantes</t>
  </si>
  <si>
    <t xml:space="preserve">M3-D Cambio de uso de suelo −50 %</t>
  </si>
  <si>
    <t xml:space="preserve">50 % del promedio anual</t>
  </si>
  <si>
    <t xml:space="preserve">R4-A Separación y compostaje</t>
  </si>
  <si>
    <t xml:space="preserve">Residuos</t>
  </si>
  <si>
    <t xml:space="preserve">Estimación conservadora</t>
  </si>
  <si>
    <t xml:space="preserve">R4-C Saneamiento</t>
  </si>
  <si>
    <t xml:space="preserve">I5-A Sustitución de HFC</t>
  </si>
  <si>
    <t xml:space="preserve">IPPU</t>
  </si>
  <si>
    <t xml:space="preserve">I5-C Proceso avícola</t>
  </si>
  <si>
    <t xml:space="preserve">Total medidas cuantificadas (no condicionadas)</t>
  </si>
  <si>
    <t xml:space="preserve">R4-B Biogás del relleno (condicionada, Alcance 3)</t>
  </si>
  <si>
    <t xml:space="preserve">50 % de captura sobre la emisión 2030 de los residuos depositados en el CARS La Loma (desde 2022); no computa en la meta no condicionada</t>
  </si>
  <si>
    <t xml:space="preserve">Metas del PAC 2030</t>
  </si>
  <si>
    <t xml:space="preserve">Concepto</t>
  </si>
  <si>
    <t xml:space="preserve">Valor</t>
  </si>
  <si>
    <t xml:space="preserve">Meta no condicionada</t>
  </si>
  <si>
    <t xml:space="preserve">Reducción requerida (no condicionada)</t>
  </si>
  <si>
    <t xml:space="preserve">Emisión meta 2030 (no condicionada)</t>
  </si>
  <si>
    <t xml:space="preserve">Medidas cuantificadas / línea base</t>
  </si>
  <si>
    <t xml:space="preserve">Meta condicionada</t>
  </si>
  <si>
    <t xml:space="preserve">Reducción requerida (condicionada)</t>
  </si>
  <si>
    <t xml:space="preserve">Emisión meta 2030 (condicionada)</t>
  </si>
  <si>
    <t xml:space="preserve">Brecha a cubrir con medidas condicionadas</t>
  </si>
  <si>
    <t xml:space="preserve">   de ella, R4-B biogás del relleno</t>
  </si>
  <si>
    <t xml:space="preserve">   resto por definir (financiamiento externo)</t>
  </si>
  <si>
    <t xml:space="preserve">v1.0 = cifras publicadas en el Inventario (junio 2026). v1.4 = recálculo con los criterios de la hoja CRITERIOS.</t>
  </si>
  <si>
    <t xml:space="preserve">CRITERIOS DE CÁLCULO — v1.4 (celdas amarillas = palancas que puedes cambiar)</t>
  </si>
  <si>
    <t xml:space="preserve">Cambia solo las celdas amarillas; todo el libro se recalcula. Los valores actuales son los recomendados tras la auditoría del 17-oct-2026.</t>
  </si>
  <si>
    <t xml:space="preserve">Criterio</t>
  </si>
  <si>
    <t xml:space="preserve">Justificación / fuente</t>
  </si>
  <si>
    <t xml:space="preserve">UTCUTS — años del periodo de conversión (anualización)</t>
  </si>
  <si>
    <t xml:space="preserve">años</t>
  </si>
  <si>
    <t xml:space="preserve">Series VI/VII INEGI no fechan la conversión dentro del periodo 2017–2022; se reparte el acumulado en partes iguales (hallazgo C1).</t>
  </si>
  <si>
    <t xml:space="preserve">UTCUTS — carbono en biomasa del cultivo que reemplaza la vegetación</t>
  </si>
  <si>
    <t xml:space="preserve">tC/ha</t>
  </si>
  <si>
    <t xml:space="preserve">IPCC 2006 Vol.4 Cap.5, Tabla 5.9: cultivos anuales 5 tC/ha. Pon 0 para no descontar (hallazgo C1).</t>
  </si>
  <si>
    <t xml:space="preserve">Aguas residuales — MCF planta de lodos activados (cabecera)</t>
  </si>
  <si>
    <t xml:space="preserve">fracción</t>
  </si>
  <si>
    <t xml:space="preserve">Refinamiento IPCC 2019, Vol.5 Cap.6, Tabla 6.3 (planta aerobia centralizada). VERIFICAR en la tabla y con datos de operación de INAGUA (administra las PTAR del estado). 0 = IPCC 2006 bien operada; 0.3 = sobrecargada (hallazgo C2).</t>
  </si>
  <si>
    <t xml:space="preserve">Aguas residuales — MCF viviendas sin drenaje (fosa séptica)</t>
  </si>
  <si>
    <t xml:space="preserve">IPCC 2006 Vol.5 Tabla 6.3, sistema séptico.</t>
  </si>
  <si>
    <t xml:space="preserve">Aguas residuales — Bo capacidad máx. de CH₄</t>
  </si>
  <si>
    <t xml:space="preserve">kg CH₄/kg DBO</t>
  </si>
  <si>
    <t xml:space="preserve">IPCC 2006 Vol.5 Tabla 6.2.</t>
  </si>
  <si>
    <t xml:space="preserve">Cobertura de drenaje (fracción de población conectada)</t>
  </si>
  <si>
    <t xml:space="preserve">INEGI 2020 / PDM 2024: 99.0 % de viviendas (hallazgo m3).</t>
  </si>
  <si>
    <t xml:space="preserve">RSU — fracción dispuesta en relleno sanitario</t>
  </si>
  <si>
    <t xml:space="preserve">PDM 2024: 100 % recolectado, sin tiraderos a cielo abierto (hallazgo m3).</t>
  </si>
  <si>
    <t xml:space="preserve">RSU — factor de oxidación</t>
  </si>
  <si>
    <t xml:space="preserve">IPCC 2006 Vol.5 Tabla 3.2, relleno gestionado con cobertura. Un solo valor en todo el libro (hallazgo m3).</t>
  </si>
  <si>
    <t xml:space="preserve">Incluir cal en construcción (2.A.2) en el total</t>
  </si>
  <si>
    <t xml:space="preserve">NO</t>
  </si>
  <si>
    <t xml:space="preserve">SI/NO</t>
  </si>
  <si>
    <t xml:space="preserve">El uso de cal no emite CO₂; solo la producción (calcinación). Cambia a SI solo si existe calera en el municipio (hallazgo M3).</t>
  </si>
  <si>
    <t xml:space="preserve">Incluir COV textiles (2.H.3) en el total</t>
  </si>
  <si>
    <t xml:space="preserve">Los COV no son GEI del IPCC; se reportan como partida informativa (hallazgo M4).</t>
  </si>
  <si>
    <t xml:space="preserve">RSU — primer año de disposición en relleno (modelo FOD)</t>
  </si>
  <si>
    <t xml:space="preserve">año</t>
  </si>
  <si>
    <t xml:space="preserve">IMBIO: desde 2001 los RSU se envían, vía estaciones de transferencia, al relleno sanitario de San Nicolás (municipio de Aguascalientes).</t>
  </si>
  <si>
    <t xml:space="preserve">RSU — año de inicio en el CARS La Loma (Tepezalá)</t>
  </si>
  <si>
    <t xml:space="preserve">IMBIO: desde 2022 los RSU se disponen en el CARS La Loma, Tepezalá, operado por Promotora Ambiental (PASA) (Informe PEPGIR 2025). Separa la emisión heredada (San Nicolás) de la del relleno actual.</t>
  </si>
  <si>
    <t xml:space="preserve">Temperatura media anual del municipio</t>
  </si>
  <si>
    <t xml:space="preserve">°C</t>
  </si>
  <si>
    <t xml:space="preserve">Estación 1102 Pabellón de Arteaga (DGE), Normal Climatológica 1991-2020 SMN/CONAGUA (Atlas de Riesgos v2.0, Tabla 4). Define los MCF de estiércol por temperatura (IPCC 2006, Tabla 10.17).</t>
  </si>
  <si>
    <t xml:space="preserve">Meta de reducción del PAC al 2030 (condicionada)</t>
  </si>
  <si>
    <t xml:space="preserve">PAC 2026-2030 §3.2: meta condicionada a financiamiento externo.</t>
  </si>
  <si>
    <t xml:space="preserve">Meta de reducción del PAC al 2030 (no condicionada)</t>
  </si>
  <si>
    <t xml:space="preserve">PAC 2026-2030 §3.2: meta con recursos y facultades municipales.</t>
  </si>
  <si>
    <t xml:space="preserve">Leyenda: texto azul = dato de entrada · texto negro = fórmula · texto verde = vínculo a otra hoja · fondo amarillo = criterio ajustable · fondo salmón = valor heredado de v1.0 sin cálculo reproducible (revisar).</t>
  </si>
  <si>
    <t xml:space="preserve">DATOS GENERALES, GWP Y FACTORES DE EMISIÓN</t>
  </si>
  <si>
    <t xml:space="preserve">Fuente de cada valor en la columna D. Texto azul = dato de entrada.</t>
  </si>
  <si>
    <t xml:space="preserve">Parámetro</t>
  </si>
  <si>
    <t xml:space="preserve">Fuente</t>
  </si>
  <si>
    <t xml:space="preserve">Población municipal 2022 (Censo 2020)</t>
  </si>
  <si>
    <t xml:space="preserve">INEGI, Censo 2020</t>
  </si>
  <si>
    <t xml:space="preserve">Población estatal (Censo 2020)</t>
  </si>
  <si>
    <t xml:space="preserve">Factor de prorrateo poblacional</t>
  </si>
  <si>
    <t xml:space="preserve">Cálculo</t>
  </si>
  <si>
    <t xml:space="preserve">Superficie municipal oficial</t>
  </si>
  <si>
    <t xml:space="preserve">Decreto 185, H. Congreso del Estado (2001) (hallazgo m1)</t>
  </si>
  <si>
    <t xml:space="preserve">GWP CH₄</t>
  </si>
  <si>
    <t xml:space="preserve">IPCC AR5 Tabla 8.7</t>
  </si>
  <si>
    <t xml:space="preserve">GWP N₂O</t>
  </si>
  <si>
    <t xml:space="preserve">GWP HFC-134a</t>
  </si>
  <si>
    <t xml:space="preserve">GWP HFC-410A</t>
  </si>
  <si>
    <t xml:space="preserve">Conversión N₂O-N → N₂O (44/28)</t>
  </si>
  <si>
    <t xml:space="preserve">Estequiometría</t>
  </si>
  <si>
    <t xml:space="preserve">Conversión C → CO₂ (44/12)</t>
  </si>
  <si>
    <t xml:space="preserve">FE electricidad SIN 2022</t>
  </si>
  <si>
    <t xml:space="preserve">kgCO₂/kWh</t>
  </si>
  <si>
    <t xml:space="preserve">SENER/CFE, FE del SEN 2022</t>
  </si>
  <si>
    <t xml:space="preserve">FE gas LP</t>
  </si>
  <si>
    <t xml:space="preserve">kgCO₂/L</t>
  </si>
  <si>
    <t xml:space="preserve">INECC / IPCC 2006 Vol.2 T.1.4</t>
  </si>
  <si>
    <t xml:space="preserve">FE gasolina CO₂</t>
  </si>
  <si>
    <t xml:space="preserve">IPCC 2006 Vol.2 T.2.2</t>
  </si>
  <si>
    <t xml:space="preserve">FE diésel CO₂</t>
  </si>
  <si>
    <t xml:space="preserve">FE gasolina CH₄</t>
  </si>
  <si>
    <t xml:space="preserve">kgCH₄/L</t>
  </si>
  <si>
    <t xml:space="preserve">IPCC 2006 Vol.2 T.3.2.2 (valor de v1.0)</t>
  </si>
  <si>
    <t xml:space="preserve">FE gasolina N₂O</t>
  </si>
  <si>
    <t xml:space="preserve">kgN₂O/L</t>
  </si>
  <si>
    <t xml:space="preserve">FE diésel CH₄</t>
  </si>
  <si>
    <t xml:space="preserve">FE diésel N₂O</t>
  </si>
  <si>
    <t xml:space="preserve">EF1 N₂O directo suelos (semiárido)</t>
  </si>
  <si>
    <t xml:space="preserve">kgN₂O-N/kgN</t>
  </si>
  <si>
    <t xml:space="preserve">INECC 2022</t>
  </si>
  <si>
    <t xml:space="preserve">FracGASF volatilización de fertilizante sintético</t>
  </si>
  <si>
    <t xml:space="preserve">IPCC 2019 Ec. 11.9</t>
  </si>
  <si>
    <t xml:space="preserve">FracLEACH lixiviación</t>
  </si>
  <si>
    <t xml:space="preserve">IPCC 2019 T.11.3 (semiárido, valor de v1.0)</t>
  </si>
  <si>
    <t xml:space="preserve">EF4 N₂O de N volatilizado</t>
  </si>
  <si>
    <t xml:space="preserve">IPCC 2006/2019</t>
  </si>
  <si>
    <t xml:space="preserve">EF5 N₂O de N lixiviado</t>
  </si>
  <si>
    <t xml:space="preserve">Generación de RSU per cápita</t>
  </si>
  <si>
    <t xml:space="preserve">kg/hab/día</t>
  </si>
  <si>
    <t xml:space="preserve">SSMAA 2022</t>
  </si>
  <si>
    <t xml:space="preserve">DBO₅ per cápita</t>
  </si>
  <si>
    <t xml:space="preserve">g/hab/día</t>
  </si>
  <si>
    <t xml:space="preserve">CONAGUA 2022</t>
  </si>
  <si>
    <t xml:space="preserve">Carga industrial co-descargada (fracción sobre la doméstica)</t>
  </si>
  <si>
    <t xml:space="preserve">Supuesto de v1.0 (avícola/textil). Confirmar con CAPA</t>
  </si>
  <si>
    <t xml:space="preserve">N en efluente per cápita</t>
  </si>
  <si>
    <t xml:space="preserve">kgN/hab/año</t>
  </si>
  <si>
    <t xml:space="preserve">Valor de v1.0. Documentar (proteína × FNPR × FNON-CON × FIND-COM)</t>
  </si>
  <si>
    <t xml:space="preserve">EF N₂O efluentes</t>
  </si>
  <si>
    <t xml:space="preserve">IPCC 2006 Vol.5 T.6.11</t>
  </si>
  <si>
    <t xml:space="preserve">SECTOR 1 — ENERGÍA ESTACIONARIA [1.A]</t>
  </si>
  <si>
    <t xml:space="preserve">E (tCO₂) = MWh × FE (kgCO₂/kWh)   |   Gas LP: L × FE (kgCO₂/L) / 1000</t>
  </si>
  <si>
    <t xml:space="preserve">Subsector</t>
  </si>
  <si>
    <t xml:space="preserve">Consumo (MWh/año)</t>
  </si>
  <si>
    <t xml:space="preserve">FE (kgCO₂/kWh)</t>
  </si>
  <si>
    <t xml:space="preserve">E CO₂ (t/año)</t>
  </si>
  <si>
    <t xml:space="preserve">Calidad</t>
  </si>
  <si>
    <t xml:space="preserve">Residencial</t>
  </si>
  <si>
    <t xml:space="preserve">Ex</t>
  </si>
  <si>
    <t xml:space="preserve">Prorrateo 3.342 % del consumo estatal (hallazgo m4)</t>
  </si>
  <si>
    <t xml:space="preserve">Comercial y servicios</t>
  </si>
  <si>
    <t xml:space="preserve">Industrial</t>
  </si>
  <si>
    <t xml:space="preserve">Alumbrado público</t>
  </si>
  <si>
    <t xml:space="preserve">D</t>
  </si>
  <si>
    <t xml:space="preserve">H. Ayuntamiento 2022</t>
  </si>
  <si>
    <t xml:space="preserve">Subtotal electricidad</t>
  </si>
  <si>
    <t xml:space="preserve">Gas LP residencial</t>
  </si>
  <si>
    <t xml:space="preserve">Consumo estatal (L/año)</t>
  </si>
  <si>
    <t xml:space="preserve">Factor prorrateo</t>
  </si>
  <si>
    <t xml:space="preserve">Consumo municipal (L/año)</t>
  </si>
  <si>
    <t xml:space="preserve">FE (kgCO₂/L)</t>
  </si>
  <si>
    <t xml:space="preserve">Gas LP en hogares</t>
  </si>
  <si>
    <t xml:space="preserve">TOTAL SECTOR 1 (tCO₂/año)</t>
  </si>
  <si>
    <t xml:space="preserve">Fuente gas LP: ENIGH 2022 / SIE-SENER Ags. El factor de prorrateo es la fórmula Pob. mun./Pob. est., lo que unifica el consumo con el del Inventario (8,638,770 L) (hallazgo N7).</t>
  </si>
  <si>
    <t xml:space="preserve">SECTOR 2 — AUTOTRANSPORTE [1.A.3.b]</t>
  </si>
  <si>
    <t xml:space="preserve">Consumo (L) = N_veh × km × L/100km / 100   |   E_gas = L × FE × GWP / 1000 (t)   |   Ajuste por tráfico foráneo GPC</t>
  </si>
  <si>
    <t xml:space="preserve">Padrón vehicular 2022</t>
  </si>
  <si>
    <t xml:space="preserve">vehículos</t>
  </si>
  <si>
    <t xml:space="preserve">SEIEG 2024 extrapolado a 2022 (hallazgo m4)</t>
  </si>
  <si>
    <t xml:space="preserve">Fracción gasolina</t>
  </si>
  <si>
    <t xml:space="preserve">INEGYCEI 2018 mix nacional</t>
  </si>
  <si>
    <t xml:space="preserve">km/año por vehículo de gasolina</t>
  </si>
  <si>
    <t xml:space="preserve">km</t>
  </si>
  <si>
    <t xml:space="preserve">INEGI Módulo Movilidad 2022</t>
  </si>
  <si>
    <t xml:space="preserve">km/año por vehículo de diésel/carga</t>
  </si>
  <si>
    <t xml:space="preserve">INEGI / IPCC T.3.2.2</t>
  </si>
  <si>
    <t xml:space="preserve">Rendimiento gasolina</t>
  </si>
  <si>
    <t xml:space="preserve">L/100 km</t>
  </si>
  <si>
    <t xml:space="preserve">IPCC 2006 T.3.2.2</t>
  </si>
  <si>
    <t xml:space="preserve">Rendimiento diésel</t>
  </si>
  <si>
    <t xml:space="preserve">Ajuste por tráfico extramunicipal</t>
  </si>
  <si>
    <t xml:space="preserve">E</t>
  </si>
  <si>
    <t xml:space="preserve">Protocolo GPC, origen-destino</t>
  </si>
  <si>
    <t xml:space="preserve">Combustible</t>
  </si>
  <si>
    <t xml:space="preserve">Vehículos</t>
  </si>
  <si>
    <t xml:space="preserve">Consumo (L/año)</t>
  </si>
  <si>
    <t xml:space="preserve">CO₂ (tCO₂)</t>
  </si>
  <si>
    <t xml:space="preserve">Total (tCO₂e)</t>
  </si>
  <si>
    <t xml:space="preserve">Gasolina</t>
  </si>
  <si>
    <t xml:space="preserve">Diésel / carga</t>
  </si>
  <si>
    <t xml:space="preserve">Total bruto</t>
  </si>
  <si>
    <t xml:space="preserve">(−) Ajuste tráfico extramunicipal</t>
  </si>
  <si>
    <t xml:space="preserve">TOTAL SECTOR 2 (tCO₂e/año)</t>
  </si>
  <si>
    <t xml:space="preserve">v1.1: unidades corregidas (antes 48.58 «tCO₂» = 48,580.6), CH₄ separado del CO₂ y N₂O móvil añadido con los FE de SUPUESTOS_FE (hallazgos M6 y N5).</t>
  </si>
  <si>
    <t xml:space="preserve">3.A.2 GESTIÓN DE ESTIÉRCOL — NIVEL 2 (IPCC 2006 Vol.4 Cap.10 / Refinamiento 2019)</t>
  </si>
  <si>
    <t xml:space="preserve">CH₄ = Cab × AWMS × VS × 365 × Bo × 0.67 × MCF / 1000 (t)  |  N₂O dir = Cab × AWMS × Nex × EF3 × 44/28  |  N₂O ind = Cab × AWMS × Nex × FracGasMS × EF4 × 44/28</t>
  </si>
  <si>
    <t xml:space="preserve">Especie / sistema</t>
  </si>
  <si>
    <t xml:space="preserve">Cabezas</t>
  </si>
  <si>
    <t xml:space="preserve">AWMS (fracción)</t>
  </si>
  <si>
    <t xml:space="preserve">VS (kg/cab/día)</t>
  </si>
  <si>
    <t xml:space="preserve">Bo (m³CH₄/kg VS)</t>
  </si>
  <si>
    <t xml:space="preserve">MCF (fracción)</t>
  </si>
  <si>
    <t xml:space="preserve">CH₄ (t/año)</t>
  </si>
  <si>
    <t xml:space="preserve">Nex (kgN/cab/año)</t>
  </si>
  <si>
    <t xml:space="preserve">EF3 (kgN₂O-N/kgN)</t>
  </si>
  <si>
    <t xml:space="preserve">FracGasMS</t>
  </si>
  <si>
    <t xml:space="preserve">N₂O dir. (tCO₂e)</t>
  </si>
  <si>
    <t xml:space="preserve">N₂O ind. (tCO₂e)</t>
  </si>
  <si>
    <t xml:space="preserve">Fuente / nota</t>
  </si>
  <si>
    <t xml:space="preserve">T (°C)</t>
  </si>
  <si>
    <t xml:space="preserve">MCF laguna</t>
  </si>
  <si>
    <t xml:space="preserve">Bovino — corral seco</t>
  </si>
  <si>
    <t xml:space="preserve">MCF por temperatura (IPCC 2006 T10.17, corral seco templado). EF3 0.02 de corral seco (IPCC 2006 T10.21): el estiércol se acumula largo tiempo antes de retirarse (IMBIO). FracGasMS: IPCC 2006 T10.22.</t>
  </si>
  <si>
    <t xml:space="preserve">Bovino — pastoreo estacional</t>
  </si>
  <si>
    <t xml:space="preserve">N depositado en pastoreo corresponde a 3.C.4 (PRP); no se estima aquí.</t>
  </si>
  <si>
    <t xml:space="preserve">Porcino — laguna anaerobia</t>
  </si>
  <si>
    <t xml:space="preserve">MCF de laguna según temperatura media anual (IPCC 2006 T10.17, tabla a la derecha). FracGasMS IPCC 2006 T10.22.</t>
  </si>
  <si>
    <t xml:space="preserve">Porcino — sólido cubierto</t>
  </si>
  <si>
    <t xml:space="preserve">MCF de almacenamiento sólido por clima (IPCC 2006 T10.17: frío 2 %, templado 4 %, cálido 5 %). EF3 y FracGasMS: IPCC 2006 T10.21/T10.22.</t>
  </si>
  <si>
    <t xml:space="preserve">Avícola — cama de pollos</t>
  </si>
  <si>
    <t xml:space="preserve">VS, Bo, MCF, Nex: SUPUESTOS v1.0. EF3 y FracGasMS: IPCC 2006 T10.21/T10.22 (aves con cama).</t>
  </si>
  <si>
    <t xml:space="preserve">Resumen por especie (tCO₂e/año)</t>
  </si>
  <si>
    <t xml:space="preserve">Especie</t>
  </si>
  <si>
    <t xml:space="preserve">N₂O directo</t>
  </si>
  <si>
    <t xml:space="preserve">N₂O indirecto</t>
  </si>
  <si>
    <t xml:space="preserve">Total</t>
  </si>
  <si>
    <t xml:space="preserve">Bovino</t>
  </si>
  <si>
    <t xml:space="preserve">Porcino</t>
  </si>
  <si>
    <t xml:space="preserve">Avícola</t>
  </si>
  <si>
    <t xml:space="preserve">CH₄ de la laguna porcina (base de la medida M3-A)</t>
  </si>
  <si>
    <t xml:space="preserve">Techo técnico M3-A: 80 % de granjas a biodigestor</t>
  </si>
  <si>
    <t xml:space="preserve">Potencial M3-A descontando 5 % de fugas</t>
  </si>
  <si>
    <t xml:space="preserve">Los MCF de corral seco, laguna y almacenamiento sólido se calculan con la temperatura media anual de CRITERIOS (IPCC 2006, Tabla 10.17).</t>
  </si>
  <si>
    <t xml:space="preserve">IPCC 2006 Vol.4 Tabla 10.17 (laguna anaerobia sin cubierta); verificar contra la tabla.</t>
  </si>
  <si>
    <t xml:space="preserve">SECTOR 3 — AFOLU NIVEL 2 [3.A / 3.B / 3.C]</t>
  </si>
  <si>
    <t xml:space="preserve">A) Fermentación entérica [3.A.1] — E = cabezas × FE / 1000 × GWP</t>
  </si>
  <si>
    <t xml:space="preserve">Categoría</t>
  </si>
  <si>
    <t xml:space="preserve">Cabezas 2022</t>
  </si>
  <si>
    <t xml:space="preserve">FE (kgCH₄/cab/año)</t>
  </si>
  <si>
    <t xml:space="preserve">E (tCO₂e)</t>
  </si>
  <si>
    <t xml:space="preserve">Fuente FE</t>
  </si>
  <si>
    <t xml:space="preserve">Vacas lecheras (Holstein × Suizo Eur.)</t>
  </si>
  <si>
    <t xml:space="preserve">INIFAP 2023</t>
  </si>
  <si>
    <t xml:space="preserve">Bovinos carne — machos adultos</t>
  </si>
  <si>
    <t xml:space="preserve">Vaquillas / becerros (&lt;2 años)</t>
  </si>
  <si>
    <t xml:space="preserve">IPCC 2019 T.10.10</t>
  </si>
  <si>
    <t xml:space="preserve">Porcino (peso vivo prom. 80 kg)</t>
  </si>
  <si>
    <t xml:space="preserve">Ovino / caprino</t>
  </si>
  <si>
    <t xml:space="preserve">IPCC 2006 T.10.11</t>
  </si>
  <si>
    <t xml:space="preserve">Total fermentación entérica</t>
  </si>
  <si>
    <t xml:space="preserve">B) Gestión de estiércol [3.A.2] — cálculo completo en la hoja 3B_ESTIERCOL</t>
  </si>
  <si>
    <t xml:space="preserve">N₂O directo (tCO₂e)</t>
  </si>
  <si>
    <t xml:space="preserve">N₂O indirecto (tCO₂e)</t>
  </si>
  <si>
    <t xml:space="preserve">Bovino — corral seco 95 % / pastoreo 5 %</t>
  </si>
  <si>
    <t xml:space="preserve">v1.2: reconstruido con VS, Bo, MCF, Nex, EF3 y FracGasMS documentados en 3B_ESTIERCOL (hallazgo N8).</t>
  </si>
  <si>
    <t xml:space="preserve">Porcino — laguna anaerobia 80 % / sólido 20 %</t>
  </si>
  <si>
    <t xml:space="preserve">Total gestión de estiércol</t>
  </si>
  <si>
    <t xml:space="preserve">C) Suelos agrícolas — N₂O [3.C.4 / 3.C.5] — E = N × EF × 44/28 × GWP</t>
  </si>
  <si>
    <t xml:space="preserve">N base (tN/año)</t>
  </si>
  <si>
    <t xml:space="preserve">Fracción</t>
  </si>
  <si>
    <t xml:space="preserve">EF (kgN₂O-N/kgN)</t>
  </si>
  <si>
    <t xml:space="preserve">N₂O (t/año)</t>
  </si>
  <si>
    <t xml:space="preserve">FSN directo — fertilizantes sintéticos</t>
  </si>
  <si>
    <t xml:space="preserve">SIAP 2022 / INIFAP 2023</t>
  </si>
  <si>
    <t xml:space="preserve">FCR directo — residuos de cultivo</t>
  </si>
  <si>
    <t xml:space="preserve">v1.0 mostraba 856.93; el cálculo da 844.88 (hallazgo m5)</t>
  </si>
  <si>
    <t xml:space="preserve">Indirecto — volatilización (sobre FSN)</t>
  </si>
  <si>
    <t xml:space="preserve">IPCC Ec. 11.9: solo FSN volatiliza (no FCR). v1.0: base 98.53 y resultado 10× menor (hallazgos C3, m5)</t>
  </si>
  <si>
    <t xml:space="preserve">Indirecto — lixiviación (FSN + FCR)</t>
  </si>
  <si>
    <t xml:space="preserve">v1.0: 31.59, 10× menor (hallazgo C3)</t>
  </si>
  <si>
    <t xml:space="preserve">Total suelos agrícolas</t>
  </si>
  <si>
    <t xml:space="preserve">D) Cambio de uso de suelo [3.B] — E = ha × (C veg − C cultivo) × 44/12 ÷ años del periodo</t>
  </si>
  <si>
    <t xml:space="preserve">Vegetación convertida → agrícola</t>
  </si>
  <si>
    <t xml:space="preserve">Superficie (ha)</t>
  </si>
  <si>
    <t xml:space="preserve">C vegetación (tC/ha)</t>
  </si>
  <si>
    <t xml:space="preserve">C cultivo (tC/ha)</t>
  </si>
  <si>
    <t xml:space="preserve">CO₂ acumulado 2017–22 (t)</t>
  </si>
  <si>
    <t xml:space="preserve">CO₂ anual (t/año)</t>
  </si>
  <si>
    <t xml:space="preserve">Matorral crasicaule</t>
  </si>
  <si>
    <t xml:space="preserve">INEGI VI/VII + literatura regional</t>
  </si>
  <si>
    <t xml:space="preserve">Bosque de encino degradado</t>
  </si>
  <si>
    <t xml:space="preserve">Acta Botánica Mexicana 2020</t>
  </si>
  <si>
    <t xml:space="preserve">Selva baja caducifolia</t>
  </si>
  <si>
    <t xml:space="preserve">Sociedad Botánica de México 2016</t>
  </si>
  <si>
    <t xml:space="preserve">Total UTCUTS</t>
  </si>
  <si>
    <t xml:space="preserve">v1.0 reportaba 22,940 tCO₂, cifra que no se reproduce con estos datos (el acumulado sin descontar cultivo es 82,175.60). Sin carbono de suelo. Verificar con ≥30 parcelas en el ciclo 2028 (hallazgo C1).</t>
  </si>
  <si>
    <t xml:space="preserve">E) Resumen AFOLU por subcategoría y gas</t>
  </si>
  <si>
    <t xml:space="preserve">Subcategoría</t>
  </si>
  <si>
    <t xml:space="preserve">Código</t>
  </si>
  <si>
    <t xml:space="preserve">CH₄</t>
  </si>
  <si>
    <t xml:space="preserve">N₂O</t>
  </si>
  <si>
    <t xml:space="preserve">Incert. (±%)</t>
  </si>
  <si>
    <t xml:space="preserve">Fermentación entérica</t>
  </si>
  <si>
    <t xml:space="preserve">3.A.1</t>
  </si>
  <si>
    <t xml:space="preserve">Gestión de estiércol — CH₄</t>
  </si>
  <si>
    <t xml:space="preserve">3.A.2</t>
  </si>
  <si>
    <t xml:space="preserve">Gestión de estiércol — N₂O</t>
  </si>
  <si>
    <t xml:space="preserve">Suelos agrícolas — N₂O directo</t>
  </si>
  <si>
    <t xml:space="preserve">3.C.4</t>
  </si>
  <si>
    <t xml:space="preserve">Suelos agrícolas — N₂O indirecto</t>
  </si>
  <si>
    <t xml:space="preserve">3.C.5</t>
  </si>
  <si>
    <t xml:space="preserve">UTCUTS</t>
  </si>
  <si>
    <t xml:space="preserve">3.B</t>
  </si>
  <si>
    <t xml:space="preserve">TOTAL AFOLU</t>
  </si>
  <si>
    <t xml:space="preserve">Incertidumbre del sector por Método 1 IPCC (suma cuadrática ponderada por emisiones), con las incertidumbres por subcategoría de la Tabla 9.1 del Inventario (hallazgo C6).</t>
  </si>
  <si>
    <t xml:space="preserve">4.A RSU — MODELO DE PRIMER ORDEN (FOD), IPCC 2006 Vol.5 Cap.3</t>
  </si>
  <si>
    <t xml:space="preserve">DDOCm = W × fracción × DOC × DOCf × MCF  |  DDOCma(T) = DDOCm(T) + DDOCma(T−1)·e^(−k)  |  descompuesto(T) = DDOCma(T−1)·(1 − e^(−k))  |  CH₄ = descompuesto × F × 16/12 × (1 − OX)</t>
  </si>
  <si>
    <t xml:space="preserve">Alimentos</t>
  </si>
  <si>
    <t xml:space="preserve">Jardinería</t>
  </si>
  <si>
    <t xml:space="preserve">Papel y cartón</t>
  </si>
  <si>
    <t xml:space="preserve">Madera</t>
  </si>
  <si>
    <t xml:space="preserve">Textiles</t>
  </si>
  <si>
    <t xml:space="preserve">Pañales</t>
  </si>
  <si>
    <t xml:space="preserve">Fracción en RSU (húmedo)</t>
  </si>
  <si>
    <t xml:space="preserve">Caracterización de Pabellón de Arteaga 2025 (Informe final PEPGIR Aguascalientes, Tabla 1.38): alimentos 36.66; jardinería 13.90 + fibra dura vegetal 0.80; cartón 4.78 + papel 1.53 + papel sanitario 8.49 + cartón encerado 0.08 + Tetrapak 0.71; madera 0.28; trapo 1.02; pañal 9.42.</t>
  </si>
  <si>
    <t xml:space="preserve">DOC (fracción, base húmeda)</t>
  </si>
  <si>
    <t xml:space="preserve">IPCC 2006 Vol.5 T2.4</t>
  </si>
  <si>
    <t xml:space="preserve">k (1/año)</t>
  </si>
  <si>
    <t xml:space="preserve">IPCC 2006 Vol.5 T3.3, clima templado seco (TMA ≤20 °C; P/ETP &lt;1). Pañales: k de degradación lenta (supuesto).</t>
  </si>
  <si>
    <t xml:space="preserve">DOCf</t>
  </si>
  <si>
    <t xml:space="preserve">IPCC 2006 Vol.5 §3.2.3</t>
  </si>
  <si>
    <t xml:space="preserve">MCF relleno gestionado anaerobio</t>
  </si>
  <si>
    <t xml:space="preserve">IPCC 2006 Vol.5 T3.1</t>
  </si>
  <si>
    <t xml:space="preserve">F (fracción de CH₄ en biogás)</t>
  </si>
  <si>
    <t xml:space="preserve">OX (oxidación)</t>
  </si>
  <si>
    <t xml:space="preserve">CRITERIOS</t>
  </si>
  <si>
    <t xml:space="preserve">Recuperación de CH₄ (R)</t>
  </si>
  <si>
    <t xml:space="preserve">Sin captura reportada por los operadores</t>
  </si>
  <si>
    <t xml:space="preserve">Primer año de disposición</t>
  </si>
  <si>
    <t xml:space="preserve">Crecimiento poblacional anual</t>
  </si>
  <si>
    <t xml:space="preserve">PDM 2024 (1.3 % anual)</t>
  </si>
  <si>
    <t xml:space="preserve">Generación per cápita</t>
  </si>
  <si>
    <t xml:space="preserve">SUPUESTOS_FE (constante en la serie)</t>
  </si>
  <si>
    <t xml:space="preserve">Fracción a relleno</t>
  </si>
  <si>
    <t xml:space="preserve">Control: suma de fracciones degradables</t>
  </si>
  <si>
    <t xml:space="preserve">Año</t>
  </si>
  <si>
    <t xml:space="preserve">RSU a relleno (t)</t>
  </si>
  <si>
    <t xml:space="preserve">Alimentos dep.</t>
  </si>
  <si>
    <t xml:space="preserve">Alimentos acum.</t>
  </si>
  <si>
    <t xml:space="preserve">Alimentos descomp.</t>
  </si>
  <si>
    <t xml:space="preserve">Jardinería dep.</t>
  </si>
  <si>
    <t xml:space="preserve">Jardinería acum.</t>
  </si>
  <si>
    <t xml:space="preserve">Jardinería descomp.</t>
  </si>
  <si>
    <t xml:space="preserve">Papel y cartón dep.</t>
  </si>
  <si>
    <t xml:space="preserve">Papel y cartón acum.</t>
  </si>
  <si>
    <t xml:space="preserve">Papel y cartón descomp.</t>
  </si>
  <si>
    <t xml:space="preserve">Madera dep.</t>
  </si>
  <si>
    <t xml:space="preserve">Madera acum.</t>
  </si>
  <si>
    <t xml:space="preserve">Madera descomp.</t>
  </si>
  <si>
    <t xml:space="preserve">Textiles dep.</t>
  </si>
  <si>
    <t xml:space="preserve">Textiles acum.</t>
  </si>
  <si>
    <t xml:space="preserve">Textiles descomp.</t>
  </si>
  <si>
    <t xml:space="preserve">Pañales dep.</t>
  </si>
  <si>
    <t xml:space="preserve">Pañales acum.</t>
  </si>
  <si>
    <t xml:space="preserve">Pañales descomp.</t>
  </si>
  <si>
    <t xml:space="preserve">DDOCm descomp. total</t>
  </si>
  <si>
    <t xml:space="preserve">CH₄ generado (t)</t>
  </si>
  <si>
    <t xml:space="preserve">CH₄ emitido (t)</t>
  </si>
  <si>
    <t xml:space="preserve">E total (tCO₂e)</t>
  </si>
  <si>
    <t xml:space="preserve">RSU a La Loma (t)</t>
  </si>
  <si>
    <t xml:space="preserve">La Loma Alimentos dep.</t>
  </si>
  <si>
    <t xml:space="preserve">La Loma Alimentos acum.</t>
  </si>
  <si>
    <t xml:space="preserve">La Loma Jardinería dep.</t>
  </si>
  <si>
    <t xml:space="preserve">La Loma Jardinería acum.</t>
  </si>
  <si>
    <t xml:space="preserve">La Loma Papel y cartón dep.</t>
  </si>
  <si>
    <t xml:space="preserve">La Loma Papel y cartón acum.</t>
  </si>
  <si>
    <t xml:space="preserve">La Loma Madera dep.</t>
  </si>
  <si>
    <t xml:space="preserve">La Loma Madera acum.</t>
  </si>
  <si>
    <t xml:space="preserve">La Loma Textiles dep.</t>
  </si>
  <si>
    <t xml:space="preserve">La Loma Textiles acum.</t>
  </si>
  <si>
    <t xml:space="preserve">La Loma Pañales dep.</t>
  </si>
  <si>
    <t xml:space="preserve">La Loma Pañales acum.</t>
  </si>
  <si>
    <t xml:space="preserve">La Loma DDOCm descomp.</t>
  </si>
  <si>
    <t xml:space="preserve">E La Loma (tCO₂e)</t>
  </si>
  <si>
    <t xml:space="preserve">E San Nicolás (tCO₂e)</t>
  </si>
  <si>
    <t xml:space="preserve">Columnas «La Loma»: residuos depositados en el CARS La Loma (Tepezalá, operado por PASA) desde 2022; San Nicolás = total − La Loma. Serie con generación per cápita constante y población proyectada con 1.3 % anual. Contraste: el Informe PEPGIR reporta 13,939.35 t dispuestas en La Loma en 2024.</t>
  </si>
  <si>
    <t xml:space="preserve">SECTOR 4 — RESIDUOS [4.A / 4.D]</t>
  </si>
  <si>
    <t xml:space="preserve">A) RSU en relleno sanitario [4.A] — Alcance 3 GPC (relleno privado extramunicipal); modelo FOD en 4A_RSU_FOD</t>
  </si>
  <si>
    <t xml:space="preserve">Fórmula / fuente</t>
  </si>
  <si>
    <t xml:space="preserve">RSU dispuestos en 2022</t>
  </si>
  <si>
    <t xml:space="preserve">t/año</t>
  </si>
  <si>
    <t xml:space="preserve">4A_RSU_FOD</t>
  </si>
  <si>
    <t xml:space="preserve">CH₄ emitido en 2022 (FOD)</t>
  </si>
  <si>
    <t xml:space="preserve">t CH₄/año</t>
  </si>
  <si>
    <t xml:space="preserve">Incluye la descomposición de residuos depositados desde el primer año de disposición</t>
  </si>
  <si>
    <t xml:space="preserve">Factor implícito</t>
  </si>
  <si>
    <t xml:space="preserve">kgCH₄/t</t>
  </si>
  <si>
    <t xml:space="preserve">v1.1 usaba 3.6 kgCH₄/t sin respaldo IPCC (hallazgo M2)</t>
  </si>
  <si>
    <t xml:space="preserve">   de ello, residuos en San Nicolás (2001–2021)</t>
  </si>
  <si>
    <t xml:space="preserve">   de ello, residuos en CARS La Loma (2022)</t>
  </si>
  <si>
    <t xml:space="preserve">Los residuos de 2022 empiezan a emitir en 2023 (retraso del modelo)</t>
  </si>
  <si>
    <t xml:space="preserve">E relleno 2022</t>
  </si>
  <si>
    <t xml:space="preserve">B) Aguas residuales — CH₄ [4.D] — E = TOW × Bo × MCF por vía × GWP (IPCC 2006 Vol.5 Cap.6)</t>
  </si>
  <si>
    <t xml:space="preserve">DBO doméstica total (TOW)</t>
  </si>
  <si>
    <t xml:space="preserve">t DBO/año</t>
  </si>
  <si>
    <t xml:space="preserve">Pob × DBO × 365 / 10⁶</t>
  </si>
  <si>
    <t xml:space="preserve">Carga industrial co-descargada</t>
  </si>
  <si>
    <t xml:space="preserve">SUPUESTOS_FE</t>
  </si>
  <si>
    <t xml:space="preserve">Cobertura de drenaje</t>
  </si>
  <si>
    <t xml:space="preserve">DBO a PTAR (lodos activados)</t>
  </si>
  <si>
    <t xml:space="preserve">Doméstica conectada + industrial</t>
  </si>
  <si>
    <t xml:space="preserve">DBO sin drenaje (fosa séptica)</t>
  </si>
  <si>
    <t xml:space="preserve">Bo</t>
  </si>
  <si>
    <t xml:space="preserve">kgCH₄/kgDBO</t>
  </si>
  <si>
    <t xml:space="preserve">MCF PTAR</t>
  </si>
  <si>
    <t xml:space="preserve">MCF fosa séptica</t>
  </si>
  <si>
    <t xml:space="preserve">CH₄ PTAR</t>
  </si>
  <si>
    <t xml:space="preserve">CH₄ fosa séptica</t>
  </si>
  <si>
    <t xml:space="preserve">E CH₄ aguas residuales</t>
  </si>
  <si>
    <t xml:space="preserve">v1.0: 3.12 (error de unidades, hallazgo C2)</t>
  </si>
  <si>
    <t xml:space="preserve">C) Aguas residuales — N₂O [4.D] — E = Pob × N_pc × EF × 44/28 × GWP</t>
  </si>
  <si>
    <t xml:space="preserve">N en efluente</t>
  </si>
  <si>
    <t xml:space="preserve">t N/año</t>
  </si>
  <si>
    <t xml:space="preserve">Pob × N per cápita / 1000</t>
  </si>
  <si>
    <t xml:space="preserve">N₂O efluentes</t>
  </si>
  <si>
    <t xml:space="preserve">t N₂O/año</t>
  </si>
  <si>
    <t xml:space="preserve">× EF × 44/28</t>
  </si>
  <si>
    <t xml:space="preserve">E N₂O aguas residuales</t>
  </si>
  <si>
    <t xml:space="preserve">v1.0: 374.75 (faltaba 44/28, hallazgo M1)</t>
  </si>
  <si>
    <t xml:space="preserve">TOTAL SECTOR 4 (tCO₂e/año)</t>
  </si>
  <si>
    <t xml:space="preserve">CH₄ total del sector = B11 + B25; N₂O = B31.</t>
  </si>
  <si>
    <t xml:space="preserve">SECTOR 5 — IPPU [2.F / 2.H / 2.A]</t>
  </si>
  <si>
    <t xml:space="preserve">Dato de actividad</t>
  </si>
  <si>
    <t xml:space="preserve">Factor</t>
  </si>
  <si>
    <t xml:space="preserve">HFC-134a refrigeración comercial [2.F.1]</t>
  </si>
  <si>
    <t xml:space="preserve">kg/año</t>
  </si>
  <si>
    <t xml:space="preserve">Balance de masa IMBIO 2022; SEMARNAT/SAO</t>
  </si>
  <si>
    <t xml:space="preserve">HFC-410A climatización [2.F.2]</t>
  </si>
  <si>
    <t xml:space="preserve">Balance de masa IMBIO 2022</t>
  </si>
  <si>
    <t xml:space="preserve">Industria avícola — proceso [2.H.2]</t>
  </si>
  <si>
    <t xml:space="preserve">FE INECC 0.062 kgCO₂e/kg incluye calderas y tratamiento de AR del rastro: reclasificar a 1.A.2 / 4.D (hallazgo M5, pendiente)</t>
  </si>
  <si>
    <t xml:space="preserve">Subtotal IPPU contabilizado</t>
  </si>
  <si>
    <t xml:space="preserve">   de ello HFC</t>
  </si>
  <si>
    <t xml:space="preserve">   de ello CO₂</t>
  </si>
  <si>
    <t xml:space="preserve">Partidas que solo cuentan si CRITERIOS = SI</t>
  </si>
  <si>
    <t xml:space="preserve">Cal en construcción [2.A.2]</t>
  </si>
  <si>
    <t xml:space="preserve">tCO₂ potencial</t>
  </si>
  <si>
    <t xml:space="preserve">420 t de cal (70 % viva, FE 0.785; 30 % hidratada, FE 0.593). El uso no emite (hallazgo M3)</t>
  </si>
  <si>
    <t xml:space="preserve">Textil — COV [2.H.3]</t>
  </si>
  <si>
    <t xml:space="preserve">tCO₂e potencial</t>
  </si>
  <si>
    <t xml:space="preserve">68.4 t COV/año (RETC 2022) × 4.2. Los COV no son GEI (hallazgo M4)</t>
  </si>
  <si>
    <t xml:space="preserve">Partida informativa (no suma): COV textiles</t>
  </si>
  <si>
    <t xml:space="preserve">t COV/año</t>
  </si>
  <si>
    <t xml:space="preserve">Reportar como contaminante de calidad del aire; la medida I5-B del PAC se reclasifica como cobeneficio</t>
  </si>
  <si>
    <t xml:space="preserve">CONTROL DE HALLAZGOS — auditoría del 17-oct-2026 vs memoria v1.4</t>
  </si>
  <si>
    <t xml:space="preserve">ID</t>
  </si>
  <si>
    <t xml:space="preserve">Nivel</t>
  </si>
  <si>
    <t xml:space="preserve">Hallazgo</t>
  </si>
  <si>
    <t xml:space="preserve">Estado en v1.4</t>
  </si>
  <si>
    <t xml:space="preserve">Cómo quedó / qué falta</t>
  </si>
  <si>
    <t xml:space="preserve">C1</t>
  </si>
  <si>
    <t xml:space="preserve">Crítico</t>
  </si>
  <si>
    <t xml:space="preserve">UTCUTS 22,940 no reproducible; sin descontar C de cultivo</t>
  </si>
  <si>
    <t xml:space="preserve">Corregido</t>
  </si>
  <si>
    <t xml:space="preserve">Promedio anual de 5 años con C cultivo 5 tC/ha (CRITERIOS). Falta verificar con ≥30 parcelas.</t>
  </si>
  <si>
    <t xml:space="preserve">C2</t>
  </si>
  <si>
    <t xml:space="preserve">CH₄ aguas residuales 3.12: error de unidades y MCF</t>
  </si>
  <si>
    <t xml:space="preserve">TOW × Bo × MCF por vía. Verificar el MCF 0.03 del Refinamiento 2019 y pedir a INAGUA la DBO del efluente.</t>
  </si>
  <si>
    <t xml:space="preserve">C3</t>
  </si>
  <si>
    <t xml:space="preserve">N₂O indirecto de suelos 10× menor</t>
  </si>
  <si>
    <t xml:space="preserve">Fórmulas vivas.</t>
  </si>
  <si>
    <t xml:space="preserve">C4</t>
  </si>
  <si>
    <t xml:space="preserve">Tabla por gas suma 111 % y cuenta UTCUTS dos veces</t>
  </si>
  <si>
    <t xml:space="preserve">Distribución por gas derivada de la matriz (RESUMEN fila 11). Corregida la Tabla R2 del Inventario v2.2; falta la web.</t>
  </si>
  <si>
    <t xml:space="preserve">C5</t>
  </si>
  <si>
    <t xml:space="preserve">Reparto AFOLU CH₄/N₂O no coincide con subcategorías</t>
  </si>
  <si>
    <t xml:space="preserve">3_AFOLU §E alimenta la matriz.</t>
  </si>
  <si>
    <t xml:space="preserve">C6</t>
  </si>
  <si>
    <t xml:space="preserve">Incertidumbre AFOLU ±12–18 % no sostenida</t>
  </si>
  <si>
    <t xml:space="preserve">Método 1 en 3_AFOLU; resultado en RESUMEN. Texto del Inventario v2.2 y PAC v5 actualizado.</t>
  </si>
  <si>
    <t xml:space="preserve">C7</t>
  </si>
  <si>
    <t xml:space="preserve">Brecha entre meta −30 % y metas sectoriales</t>
  </si>
  <si>
    <t xml:space="preserve">Meta en dos niveles: −20 % no condicionada (cubierta por medidas) y −30 % condicionada (RESUMEN).</t>
  </si>
  <si>
    <t xml:space="preserve">M1</t>
  </si>
  <si>
    <t xml:space="preserve">Mayor</t>
  </si>
  <si>
    <t xml:space="preserve">N₂O aguas residuales sin 44/28</t>
  </si>
  <si>
    <t xml:space="preserve">Falta documentar N per cápita y fracción tratada.</t>
  </si>
  <si>
    <t xml:space="preserve">M2</t>
  </si>
  <si>
    <t xml:space="preserve">FE RSU 3.6 kgCH₄/t sin respaldo IPCC</t>
  </si>
  <si>
    <t xml:space="preserve">Modelo FOD con 6 fracciones y caracterización municipal 2025 (PEPGIR), desde 2001 (San Nicolás) y 2022 (CARS La Loma).</t>
  </si>
  <si>
    <t xml:space="preserve">M3</t>
  </si>
  <si>
    <t xml:space="preserve">Cal en construcción no emite CO₂</t>
  </si>
  <si>
    <t xml:space="preserve">Fuera del total (CRITERIOS = NO).</t>
  </si>
  <si>
    <t xml:space="preserve">M4</t>
  </si>
  <si>
    <t xml:space="preserve">COV no son GEI</t>
  </si>
  <si>
    <t xml:space="preserve">Fuera del total; partida informativa en 5_IPPU.</t>
  </si>
  <si>
    <t xml:space="preserve">M5</t>
  </si>
  <si>
    <t xml:space="preserve">FE avícola mezcla combustión y AR</t>
  </si>
  <si>
    <t xml:space="preserve">Pendiente</t>
  </si>
  <si>
    <t xml:space="preserve">Requiere desglose de la empresa para reclasificar.</t>
  </si>
  <si>
    <t xml:space="preserve">M6</t>
  </si>
  <si>
    <t xml:space="preserve">Unidades erróneas en transporte; CH₄ como CO₂</t>
  </si>
  <si>
    <t xml:space="preserve">Unidades y gases separados.</t>
  </si>
  <si>
    <t xml:space="preserve">M7</t>
  </si>
  <si>
    <t xml:space="preserve">PAC M3-A: 5,500 &gt; techo técnico</t>
  </si>
  <si>
    <t xml:space="preserve">PAC v5: M3-A = 80 % del CH₄ de la laguna menos 5 % de fugas (RESUMEN).</t>
  </si>
  <si>
    <t xml:space="preserve">M8</t>
  </si>
  <si>
    <t xml:space="preserve">PAC E1-B: 6,200 implica 2,731 kWh/kWp</t>
  </si>
  <si>
    <t xml:space="preserve">PAC v5: 4,313 tCO₂e con 1,900 kWh/kWp.</t>
  </si>
  <si>
    <t xml:space="preserve">M9</t>
  </si>
  <si>
    <t xml:space="preserve">Meta AFOLU sin cifra para M3-D</t>
  </si>
  <si>
    <t xml:space="preserve">PAC v5: M3-D = 50 % del UTCUTS anual.</t>
  </si>
  <si>
    <t xml:space="preserve">m1</t>
  </si>
  <si>
    <t xml:space="preserve">Menor</t>
  </si>
  <si>
    <t xml:space="preserve">Superficie 199.33 km²</t>
  </si>
  <si>
    <t xml:space="preserve">177.529 km² (Decreto 185).</t>
  </si>
  <si>
    <t xml:space="preserve">m2</t>
  </si>
  <si>
    <t xml:space="preserve">Columna «% AFOLU» sin sentido</t>
  </si>
  <si>
    <t xml:space="preserve">Eliminada.</t>
  </si>
  <si>
    <t xml:space="preserve">m3</t>
  </si>
  <si>
    <t xml:space="preserve">74.2 % drenaje, 6.3 % tiradero, oxidación 0.10 vs 0.05</t>
  </si>
  <si>
    <t xml:space="preserve">99 % drenaje, 100 % relleno, oxidación única 0.10.</t>
  </si>
  <si>
    <t xml:space="preserve">m4</t>
  </si>
  <si>
    <t xml:space="preserve">Etiquetas de calidad del dato incorrectas</t>
  </si>
  <si>
    <t xml:space="preserve">Electricidad y padrón marcados Ex. Falta pedir datos municipales a CFE.</t>
  </si>
  <si>
    <t xml:space="preserve">m5</t>
  </si>
  <si>
    <t xml:space="preserve">FCR y base de volatilización</t>
  </si>
  <si>
    <t xml:space="preserve">FCR recalculado; volatilización solo sobre FSN.</t>
  </si>
  <si>
    <t xml:space="preserve">m6</t>
  </si>
  <si>
    <t xml:space="preserve">PAC: 17 vs 16 medidas; «relleno municipal»</t>
  </si>
  <si>
    <t xml:space="preserve">PAC v5.</t>
  </si>
  <si>
    <t xml:space="preserve">m7</t>
  </si>
  <si>
    <t xml:space="preserve">PAC: «−30 % meta integral» en la fila de −33,920</t>
  </si>
  <si>
    <t xml:space="preserve">PAC v5: Tabla 3.1 separa medidas y metas.</t>
  </si>
  <si>
    <t xml:space="preserve">m8</t>
  </si>
  <si>
    <t xml:space="preserve">Web con desglose por gas erróneo</t>
  </si>
  <si>
    <t xml:space="preserve">Pendiente (web)</t>
  </si>
  <si>
    <t xml:space="preserve">Sincronizar con RESUMEN v1.4.</t>
  </si>
  <si>
    <t xml:space="preserve">N1</t>
  </si>
  <si>
    <t xml:space="preserve">Tabla R1: Residuos 1,653.91; los sectores no suman el total</t>
  </si>
  <si>
    <t xml:space="preserve">Una sola cifra de residuos alimentada por 4_RESIDUOS. Inventario v2.2 corregido.</t>
  </si>
  <si>
    <t xml:space="preserve">N2</t>
  </si>
  <si>
    <t xml:space="preserve">Tres valores del relleno (1,197 / 1,241 / 1,278)</t>
  </si>
  <si>
    <t xml:space="preserve">100 % a relleno → 1,277.93; igual al §6.1 del Inventario y a R4-B del PAC.</t>
  </si>
  <si>
    <t xml:space="preserve">N3</t>
  </si>
  <si>
    <t xml:space="preserve">«AFOLU segundo emisor, por encima del Autotransporte»</t>
  </si>
  <si>
    <t xml:space="preserve">Inventario v2.2 y PAC v5.</t>
  </si>
  <si>
    <t xml:space="preserve">N4</t>
  </si>
  <si>
    <t xml:space="preserve">La memoria no tenía fórmulas</t>
  </si>
  <si>
    <t xml:space="preserve">Libro reconstruido con fórmulas en todos los sectores.</t>
  </si>
  <si>
    <t xml:space="preserve">N5</t>
  </si>
  <si>
    <t xml:space="preserve">Falta N₂O de transporte</t>
  </si>
  <si>
    <t xml:space="preserve">Añadido con FE de v1.0.</t>
  </si>
  <si>
    <t xml:space="preserve">N6</t>
  </si>
  <si>
    <t xml:space="preserve">CO₂ 87.99 % vs 80.59 %</t>
  </si>
  <si>
    <t xml:space="preserve">RESUMEN fila 11.</t>
  </si>
  <si>
    <t xml:space="preserve">N7</t>
  </si>
  <si>
    <t xml:space="preserve">Gas LP 8,638,885 vs 8,638,770 L; 990.7 tCO₂e/km²</t>
  </si>
  <si>
    <t xml:space="preserve">Prorrateo por fórmula; superficie única.</t>
  </si>
  <si>
    <t xml:space="preserve">N8</t>
  </si>
  <si>
    <t xml:space="preserve">Gestión de estiércol no reproducible con sus parámetros</t>
  </si>
  <si>
    <t xml:space="preserve">Reconstruido con fórmulas en 3B_ESTIERCOL.</t>
  </si>
  <si>
    <t xml:space="preserve">N9</t>
  </si>
  <si>
    <t xml:space="preserve">MCF de laguna porcina 66 % corresponde a clima frío; a 17–18 °C IPCC da valores mayores</t>
  </si>
  <si>
    <t xml:space="preserve">MCF por temperatura media anual (CRITERIOS), IPCC 2006 T10.17.</t>
  </si>
  <si>
    <t xml:space="preserve">N10</t>
  </si>
  <si>
    <t xml:space="preserve">EF3 de corral seco 0.001 frente a 0.02 de IPCC 2006</t>
  </si>
  <si>
    <t xml:space="preserve">EF3 = 0.02: el estiércol permanece largo tiempo en los corrales (IMBIO).</t>
  </si>
  <si>
    <t xml:space="preserve">N11</t>
  </si>
  <si>
    <t xml:space="preserve">N de excretas en pastoreo (PRP, 3.C.4) no estimado</t>
  </si>
  <si>
    <t xml:space="preserve">Pendiente (nuevo)</t>
  </si>
  <si>
    <t xml:space="preserve">Estimar en el siguiente ciclo; aporte menor (5 % del hato bovino).</t>
  </si>
  <si>
    <t xml:space="preserve">Corregidos en la memoria</t>
  </si>
  <si>
    <t xml:space="preserve">Pendientes</t>
  </si>
</sst>
</file>

<file path=xl/styles.xml><?xml version="1.0" encoding="utf-8"?>
<styleSheet xmlns="http://schemas.openxmlformats.org/spreadsheetml/2006/main">
  <numFmts count="14">
    <numFmt numFmtId="164" formatCode="General"/>
    <numFmt numFmtId="165" formatCode="#,##0.00;\(#,##0.00\);\-"/>
    <numFmt numFmtId="166" formatCode="0.00%"/>
    <numFmt numFmtId="167" formatCode="#,##0;\(#,##0\);\-"/>
    <numFmt numFmtId="168" formatCode="0.00"/>
    <numFmt numFmtId="169" formatCode="0.000"/>
    <numFmt numFmtId="170" formatCode="#,##0.0"/>
    <numFmt numFmtId="171" formatCode="0.0%"/>
    <numFmt numFmtId="172" formatCode="0%"/>
    <numFmt numFmtId="173" formatCode="0"/>
    <numFmt numFmtId="174" formatCode="0.0"/>
    <numFmt numFmtId="175" formatCode="0.0%;\(0.0%\);\-"/>
    <numFmt numFmtId="176" formatCode="0.000000"/>
    <numFmt numFmtId="177" formatCode="0.0000"/>
  </numFmts>
  <fonts count="13">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595959"/>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0"/>
      <color rgb="FF000000"/>
      <name val="Arial"/>
      <family val="0"/>
      <charset val="1"/>
    </font>
    <font>
      <sz val="10"/>
      <color rgb="FF0000FF"/>
      <name val="Arial"/>
      <family val="0"/>
      <charset val="1"/>
    </font>
    <font>
      <i val="true"/>
      <sz val="10"/>
      <color rgb="FF595959"/>
      <name val="Arial"/>
      <family val="0"/>
      <charset val="1"/>
    </font>
    <font>
      <b val="true"/>
      <sz val="11"/>
      <color rgb="FF1F4E79"/>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E2EFDA"/>
        <bgColor rgb="FFFCE4D6"/>
      </patternFill>
    </fill>
    <fill>
      <patternFill patternType="solid">
        <fgColor rgb="FFFFFF00"/>
        <bgColor rgb="FFFFFF00"/>
      </patternFill>
    </fill>
    <fill>
      <patternFill patternType="solid">
        <fgColor rgb="FFFCE4D6"/>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6" fontId="7"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5" fontId="9" fillId="3" borderId="1" xfId="0" applyFont="true" applyBorder="true" applyAlignment="true" applyProtection="false">
      <alignment horizontal="general" vertical="center" textRotation="0" wrapText="false" indent="0" shrinkToFit="false"/>
      <protection locked="true" hidden="false"/>
    </xf>
    <xf numFmtId="166" fontId="9" fillId="3"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9" fontId="8" fillId="0" borderId="1" xfId="0" applyFont="true" applyBorder="true" applyAlignment="true" applyProtection="false">
      <alignment horizontal="general" vertical="center" textRotation="0" wrapText="false" indent="0" shrinkToFit="false"/>
      <protection locked="true" hidden="false"/>
    </xf>
    <xf numFmtId="170" fontId="7" fillId="0" borderId="1" xfId="0" applyFont="true" applyBorder="true" applyAlignment="true" applyProtection="false">
      <alignment horizontal="general" vertical="center" textRotation="0" wrapText="false" indent="0" shrinkToFit="false"/>
      <protection locked="true" hidden="false"/>
    </xf>
    <xf numFmtId="166" fontId="10" fillId="0" borderId="1" xfId="0" applyFont="true" applyBorder="true" applyAlignment="true" applyProtection="false">
      <alignment horizontal="general" vertical="center" textRotation="0" wrapText="false" indent="0" shrinkToFit="false"/>
      <protection locked="true" hidden="false"/>
    </xf>
    <xf numFmtId="171" fontId="8" fillId="0" borderId="1" xfId="0" applyFont="true" applyBorder="true" applyAlignment="true" applyProtection="false">
      <alignment horizontal="general" vertical="center" textRotation="0" wrapText="false" indent="0" shrinkToFit="false"/>
      <protection locked="true" hidden="false"/>
    </xf>
    <xf numFmtId="171" fontId="10" fillId="0" borderId="1" xfId="0" applyFont="true" applyBorder="true" applyAlignment="true" applyProtection="false">
      <alignment horizontal="general" vertical="center" textRotation="0" wrapText="false" indent="0" shrinkToFit="false"/>
      <protection locked="true" hidden="false"/>
    </xf>
    <xf numFmtId="167" fontId="10" fillId="0" borderId="1" xfId="0" applyFont="true" applyBorder="true" applyAlignment="true" applyProtection="false">
      <alignment horizontal="general" vertical="center" textRotation="0" wrapText="false" indent="0" shrinkToFit="false"/>
      <protection locked="true" hidden="false"/>
    </xf>
    <xf numFmtId="167" fontId="9" fillId="3"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72" fontId="8"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5" fontId="10" fillId="4" borderId="1" xfId="0" applyFont="true" applyBorder="true" applyAlignment="true" applyProtection="false">
      <alignment horizontal="general" vertical="center" textRotation="0" wrapText="false" indent="0" shrinkToFit="false"/>
      <protection locked="true" hidden="false"/>
    </xf>
    <xf numFmtId="168" fontId="10" fillId="4" borderId="1" xfId="0" applyFont="true" applyBorder="true" applyAlignment="true" applyProtection="false">
      <alignment horizontal="general" vertical="center" textRotation="0" wrapText="false" indent="0" shrinkToFit="false"/>
      <protection locked="true" hidden="false"/>
    </xf>
    <xf numFmtId="173" fontId="10" fillId="4" borderId="1" xfId="0" applyFont="true" applyBorder="true" applyAlignment="true" applyProtection="false">
      <alignment horizontal="general" vertical="center" textRotation="0" wrapText="false" indent="0" shrinkToFit="false"/>
      <protection locked="true" hidden="false"/>
    </xf>
    <xf numFmtId="174" fontId="10" fillId="4" borderId="1" xfId="0" applyFont="true" applyBorder="true" applyAlignment="true" applyProtection="false">
      <alignment horizontal="general" vertical="center" textRotation="0" wrapText="false" indent="0" shrinkToFit="false"/>
      <protection locked="true" hidden="false"/>
    </xf>
    <xf numFmtId="175" fontId="10" fillId="4" borderId="1" xfId="0" applyFont="true" applyBorder="true" applyAlignment="true" applyProtection="false">
      <alignment horizontal="general" vertical="center" textRotation="0" wrapText="false" indent="0" shrinkToFit="false"/>
      <protection locked="true" hidden="false"/>
    </xf>
    <xf numFmtId="176" fontId="7" fillId="0" borderId="1" xfId="0" applyFont="true" applyBorder="true" applyAlignment="true" applyProtection="false">
      <alignment horizontal="general" vertical="center" textRotation="0" wrapText="false" indent="0" shrinkToFit="false"/>
      <protection locked="true" hidden="false"/>
    </xf>
    <xf numFmtId="169" fontId="10" fillId="0" borderId="1" xfId="0" applyFont="true" applyBorder="true" applyAlignment="true" applyProtection="false">
      <alignment horizontal="general" vertical="center" textRotation="0" wrapText="false" indent="0" shrinkToFit="false"/>
      <protection locked="true" hidden="false"/>
    </xf>
    <xf numFmtId="177" fontId="7" fillId="0" borderId="1" xfId="0" applyFont="true" applyBorder="true" applyAlignment="true" applyProtection="false">
      <alignment horizontal="general" vertical="center" textRotation="0" wrapText="false" indent="0" shrinkToFit="false"/>
      <protection locked="true" hidden="false"/>
    </xf>
    <xf numFmtId="176" fontId="10" fillId="0" borderId="1" xfId="0" applyFont="true" applyBorder="true" applyAlignment="true" applyProtection="false">
      <alignment horizontal="general" vertical="center" textRotation="0" wrapText="false" indent="0" shrinkToFit="false"/>
      <protection locked="true" hidden="false"/>
    </xf>
    <xf numFmtId="177" fontId="10" fillId="0" borderId="1" xfId="0" applyFont="true" applyBorder="true" applyAlignment="true" applyProtection="false">
      <alignment horizontal="general" vertical="center" textRotation="0" wrapText="false" indent="0" shrinkToFit="false"/>
      <protection locked="true" hidden="false"/>
    </xf>
    <xf numFmtId="176" fontId="8" fillId="0" borderId="1" xfId="0" applyFont="true" applyBorder="true" applyAlignment="true" applyProtection="false">
      <alignment horizontal="general" vertical="center" textRotation="0" wrapText="false" indent="0" shrinkToFit="false"/>
      <protection locked="true" hidden="false"/>
    </xf>
    <xf numFmtId="168" fontId="10" fillId="0" borderId="1" xfId="0" applyFont="true" applyBorder="true" applyAlignment="true" applyProtection="false">
      <alignment horizontal="general" vertical="center" textRotation="0" wrapText="false" indent="0" shrinkToFit="false"/>
      <protection locked="true" hidden="false"/>
    </xf>
    <xf numFmtId="174" fontId="10"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77" fontId="8" fillId="0" borderId="1" xfId="0" applyFont="true" applyBorder="true" applyAlignment="true" applyProtection="false">
      <alignment horizontal="general" vertical="center" textRotation="0" wrapText="false" indent="0" shrinkToFit="false"/>
      <protection locked="true" hidden="false"/>
    </xf>
    <xf numFmtId="173" fontId="10" fillId="0" borderId="1" xfId="0" applyFont="true" applyBorder="true" applyAlignment="true" applyProtection="false">
      <alignment horizontal="general" vertical="center" textRotation="0" wrapText="false" indent="0" shrinkToFit="false"/>
      <protection locked="true" hidden="false"/>
    </xf>
    <xf numFmtId="174" fontId="8" fillId="0" borderId="1" xfId="0" applyFont="true" applyBorder="true" applyAlignment="true" applyProtection="false">
      <alignment horizontal="general" vertical="center" textRotation="0" wrapText="false" indent="0" shrinkToFit="false"/>
      <protection locked="true" hidden="false"/>
    </xf>
    <xf numFmtId="172" fontId="10" fillId="0" borderId="1" xfId="0" applyFont="true" applyBorder="true" applyAlignment="true" applyProtection="false">
      <alignment horizontal="general" vertical="center" textRotation="0" wrapText="false" indent="0" shrinkToFit="false"/>
      <protection locked="true" hidden="false"/>
    </xf>
    <xf numFmtId="171" fontId="9" fillId="3" borderId="1" xfId="0" applyFont="true" applyBorder="true" applyAlignment="true" applyProtection="false">
      <alignment horizontal="general" vertical="center" textRotation="0" wrapText="false" indent="0" shrinkToFit="false"/>
      <protection locked="true" hidden="false"/>
    </xf>
    <xf numFmtId="173" fontId="8" fillId="0" borderId="1" xfId="0" applyFont="true" applyBorder="true" applyAlignment="true" applyProtection="false">
      <alignment horizontal="general" vertical="center" textRotation="0" wrapText="false" indent="0" shrinkToFit="false"/>
      <protection locked="true" hidden="false"/>
    </xf>
    <xf numFmtId="173" fontId="7" fillId="0" borderId="1" xfId="0" applyFont="true" applyBorder="true" applyAlignment="true" applyProtection="false">
      <alignment horizontal="general" vertical="center" textRotation="0" wrapText="false" indent="0" shrinkToFit="false"/>
      <protection locked="true" hidden="false"/>
    </xf>
    <xf numFmtId="165" fontId="8" fillId="3" borderId="1" xfId="0" applyFont="true" applyBorder="true" applyAlignment="true" applyProtection="false">
      <alignment horizontal="general" vertical="center" textRotation="0" wrapText="false" indent="0" shrinkToFit="false"/>
      <protection locked="true" hidden="false"/>
    </xf>
    <xf numFmtId="165" fontId="7" fillId="3" borderId="1" xfId="0" applyFont="true" applyBorder="true" applyAlignment="true" applyProtection="false">
      <alignment horizontal="general" vertical="center" textRotation="0" wrapText="false" indent="0" shrinkToFit="false"/>
      <protection locked="true" hidden="false"/>
    </xf>
    <xf numFmtId="169" fontId="10" fillId="5"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6" min="3" style="0" width="15"/>
    <col collapsed="false" customWidth="true" hidden="false" outlineLevel="0" max="7" min="7" style="0" width="16"/>
    <col collapsed="false" customWidth="true" hidden="false" outlineLevel="0" max="8" min="8" style="0" width="12"/>
    <col collapsed="false" customWidth="true" hidden="false" outlineLevel="0" max="9" min="9" style="0" width="16"/>
    <col collapsed="false" customWidth="true" hidden="false" outlineLevel="0" max="10" min="10" style="0" width="14"/>
  </cols>
  <sheetData>
    <row r="1" customFormat="false" ht="16.1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4" t="s">
        <v>13</v>
      </c>
      <c r="C5" s="5" t="n">
        <f aca="false">1_ENERGIA!$F$14</f>
        <v>77619.6904668524</v>
      </c>
      <c r="D5" s="6" t="n">
        <f aca="false">0</f>
        <v>0</v>
      </c>
      <c r="E5" s="6" t="n">
        <f aca="false">0</f>
        <v>0</v>
      </c>
      <c r="F5" s="6" t="n">
        <f aca="false">0</f>
        <v>0</v>
      </c>
      <c r="G5" s="7" t="n">
        <f aca="false">SUM(C5:F5)</f>
        <v>77619.6904668524</v>
      </c>
      <c r="H5" s="8" t="n">
        <f aca="false">G5/$G$10</f>
        <v>0.37730642781523</v>
      </c>
      <c r="I5" s="9" t="n">
        <v>77619.69</v>
      </c>
      <c r="J5" s="6" t="n">
        <f aca="false">G5-I5</f>
        <v>0.000466852376121096</v>
      </c>
    </row>
    <row r="6" customFormat="false" ht="15" hidden="false" customHeight="false" outlineLevel="0" collapsed="false">
      <c r="A6" s="4" t="s">
        <v>14</v>
      </c>
      <c r="B6" s="4" t="s">
        <v>15</v>
      </c>
      <c r="C6" s="5" t="n">
        <f aca="false">2_AUTOTRANSPORTE!$D$18</f>
        <v>71877.0672</v>
      </c>
      <c r="D6" s="5" t="n">
        <f aca="false">2_AUTOTRANSPORTE!$E$18</f>
        <v>236.0872332</v>
      </c>
      <c r="E6" s="5" t="n">
        <f aca="false">2_AUTOTRANSPORTE!$F$18</f>
        <v>1527.088788</v>
      </c>
      <c r="F6" s="6" t="n">
        <f aca="false">0</f>
        <v>0</v>
      </c>
      <c r="G6" s="7" t="n">
        <f aca="false">SUM(C6:F6)</f>
        <v>73640.2432212</v>
      </c>
      <c r="H6" s="8" t="n">
        <f aca="false">G6/$G$10</f>
        <v>0.35796248279425</v>
      </c>
      <c r="I6" s="9" t="n">
        <v>72113.15</v>
      </c>
      <c r="J6" s="6" t="n">
        <f aca="false">G6-I6</f>
        <v>1527.09322120002</v>
      </c>
    </row>
    <row r="7" customFormat="false" ht="15" hidden="false" customHeight="false" outlineLevel="0" collapsed="false">
      <c r="A7" s="4" t="s">
        <v>16</v>
      </c>
      <c r="B7" s="4" t="s">
        <v>17</v>
      </c>
      <c r="C7" s="5" t="n">
        <f aca="false">3_AFOLU!$C$43</f>
        <v>14308.0666666667</v>
      </c>
      <c r="D7" s="5" t="n">
        <f aca="false">3_AFOLU!$D$43</f>
        <v>16611.044893986</v>
      </c>
      <c r="E7" s="5" t="n">
        <f aca="false">3_AFOLU!$E$43</f>
        <v>7616.45241971429</v>
      </c>
      <c r="F7" s="6" t="n">
        <f aca="false">0</f>
        <v>0</v>
      </c>
      <c r="G7" s="7" t="n">
        <f aca="false">SUM(C7:F7)</f>
        <v>38535.563980367</v>
      </c>
      <c r="H7" s="8" t="n">
        <f aca="false">G7/$G$10</f>
        <v>0.18731994294008</v>
      </c>
      <c r="I7" s="9" t="n">
        <v>42482.91</v>
      </c>
      <c r="J7" s="6" t="n">
        <f aca="false">G7-I7</f>
        <v>-3947.34601963305</v>
      </c>
    </row>
    <row r="8" customFormat="false" ht="15" hidden="false" customHeight="false" outlineLevel="0" collapsed="false">
      <c r="A8" s="4" t="s">
        <v>18</v>
      </c>
      <c r="B8" s="4" t="s">
        <v>19</v>
      </c>
      <c r="C8" s="6" t="n">
        <f aca="false">0</f>
        <v>0</v>
      </c>
      <c r="D8" s="5" t="n">
        <f aca="false">4_RESIDUOS!$B$11+4_RESIDUOS!$B$25</f>
        <v>12079.1210628431</v>
      </c>
      <c r="E8" s="5" t="n">
        <f aca="false">4_RESIDUOS!$B$31</f>
        <v>793.646228571429</v>
      </c>
      <c r="F8" s="6" t="n">
        <f aca="false">0</f>
        <v>0</v>
      </c>
      <c r="G8" s="7" t="n">
        <f aca="false">SUM(C8:F8)</f>
        <v>12872.7672914146</v>
      </c>
      <c r="H8" s="8" t="n">
        <f aca="false">G8/$G$10</f>
        <v>0.0625740429214227</v>
      </c>
      <c r="I8" s="9" t="n">
        <v>1618.96</v>
      </c>
      <c r="J8" s="6" t="n">
        <f aca="false">G8-I8</f>
        <v>11253.8072914146</v>
      </c>
    </row>
    <row r="9" customFormat="false" ht="15" hidden="false" customHeight="false" outlineLevel="0" collapsed="false">
      <c r="A9" s="4" t="s">
        <v>20</v>
      </c>
      <c r="B9" s="4" t="s">
        <v>21</v>
      </c>
      <c r="C9" s="5" t="n">
        <f aca="false">5_IPPU!$E$10</f>
        <v>520.8</v>
      </c>
      <c r="D9" s="6" t="n">
        <f aca="false">0</f>
        <v>0</v>
      </c>
      <c r="E9" s="6" t="n">
        <f aca="false">0</f>
        <v>0</v>
      </c>
      <c r="F9" s="5" t="n">
        <f aca="false">5_IPPU!$E$9</f>
        <v>2531.49728</v>
      </c>
      <c r="G9" s="7" t="n">
        <f aca="false">SUM(C9:F9)</f>
        <v>3052.29728</v>
      </c>
      <c r="H9" s="8" t="n">
        <f aca="false">G9/$G$10</f>
        <v>0.014837103529017</v>
      </c>
      <c r="I9" s="9" t="n">
        <v>3645.09</v>
      </c>
      <c r="J9" s="6" t="n">
        <f aca="false">G9-I9</f>
        <v>-592.79272</v>
      </c>
    </row>
    <row r="10" customFormat="false" ht="15" hidden="false" customHeight="false" outlineLevel="0" collapsed="false">
      <c r="A10" s="10" t="s">
        <v>22</v>
      </c>
      <c r="B10" s="11" t="s">
        <v>23</v>
      </c>
      <c r="C10" s="12" t="n">
        <f aca="false">SUM(C5:C9)</f>
        <v>164325.624333519</v>
      </c>
      <c r="D10" s="12" t="n">
        <f aca="false">SUM(D5:D9)</f>
        <v>28926.2531900292</v>
      </c>
      <c r="E10" s="12" t="n">
        <f aca="false">SUM(E5:E9)</f>
        <v>9937.18743628571</v>
      </c>
      <c r="F10" s="12" t="n">
        <f aca="false">SUM(F5:F9)</f>
        <v>2531.49728</v>
      </c>
      <c r="G10" s="12" t="n">
        <f aca="false">SUM(G5:G9)</f>
        <v>205720.562239834</v>
      </c>
      <c r="H10" s="13" t="n">
        <f aca="false">SUM(H5:H9)</f>
        <v>1</v>
      </c>
      <c r="I10" s="12" t="n">
        <f aca="false">SUM(I5:I9)</f>
        <v>197479.8</v>
      </c>
      <c r="J10" s="12" t="n">
        <f aca="false">SUM(J5:J9)</f>
        <v>8240.76223983392</v>
      </c>
    </row>
    <row r="11" customFormat="false" ht="15" hidden="false" customHeight="false" outlineLevel="0" collapsed="false">
      <c r="A11" s="14" t="s">
        <v>24</v>
      </c>
      <c r="C11" s="8" t="n">
        <f aca="false">C10/$G$10</f>
        <v>0.798780746777973</v>
      </c>
      <c r="D11" s="8" t="n">
        <f aca="false">D10/$G$10</f>
        <v>0.140609440665957</v>
      </c>
      <c r="E11" s="8" t="n">
        <f aca="false">E10/$G$10</f>
        <v>0.0483042984526783</v>
      </c>
      <c r="F11" s="8" t="n">
        <f aca="false">F10/$G$10</f>
        <v>0.012305514103392</v>
      </c>
    </row>
    <row r="13" customFormat="false" ht="15" hidden="false" customHeight="false" outlineLevel="0" collapsed="false">
      <c r="A13" s="15" t="s">
        <v>25</v>
      </c>
    </row>
    <row r="14" customFormat="false" ht="30" hidden="false" customHeight="true" outlineLevel="0" collapsed="false">
      <c r="A14" s="3" t="s">
        <v>26</v>
      </c>
      <c r="B14" s="3" t="s">
        <v>27</v>
      </c>
      <c r="C14" s="3" t="s">
        <v>28</v>
      </c>
      <c r="D14" s="3" t="s">
        <v>29</v>
      </c>
    </row>
    <row r="15" customFormat="false" ht="15" hidden="false" customHeight="false" outlineLevel="0" collapsed="false">
      <c r="A15" s="4" t="s">
        <v>30</v>
      </c>
      <c r="B15" s="6" t="n">
        <f aca="false">G10</f>
        <v>205720.562239834</v>
      </c>
      <c r="C15" s="6" t="n">
        <f aca="false">I10</f>
        <v>197479.8</v>
      </c>
      <c r="D15" s="4" t="s">
        <v>31</v>
      </c>
    </row>
    <row r="16" customFormat="false" ht="15" hidden="false" customHeight="false" outlineLevel="0" collapsed="false">
      <c r="A16" s="4" t="s">
        <v>32</v>
      </c>
      <c r="B16" s="16" t="n">
        <f aca="false">SUPUESTOS_FE!$B$5</f>
        <v>47646</v>
      </c>
      <c r="C16" s="16" t="n">
        <f aca="false">SUPUESTOS_FE!$B$5</f>
        <v>47646</v>
      </c>
      <c r="D16" s="4" t="s">
        <v>33</v>
      </c>
    </row>
    <row r="17" customFormat="false" ht="15" hidden="false" customHeight="false" outlineLevel="0" collapsed="false">
      <c r="A17" s="4" t="s">
        <v>34</v>
      </c>
      <c r="B17" s="17" t="n">
        <f aca="false">B15/B16</f>
        <v>4.31768799563099</v>
      </c>
      <c r="C17" s="17" t="n">
        <f aca="false">C15/C16</f>
        <v>4.14472988288629</v>
      </c>
      <c r="D17" s="4" t="s">
        <v>35</v>
      </c>
    </row>
    <row r="18" customFormat="false" ht="15" hidden="false" customHeight="false" outlineLevel="0" collapsed="false">
      <c r="A18" s="4" t="s">
        <v>36</v>
      </c>
      <c r="B18" s="18" t="n">
        <f aca="false">SUPUESTOS_FE!$B$8</f>
        <v>177.529</v>
      </c>
      <c r="C18" s="18" t="n">
        <f aca="false">SUPUESTOS_FE!$B$8</f>
        <v>177.529</v>
      </c>
      <c r="D18" s="4" t="s">
        <v>37</v>
      </c>
    </row>
    <row r="19" customFormat="false" ht="15" hidden="false" customHeight="false" outlineLevel="0" collapsed="false">
      <c r="A19" s="4" t="s">
        <v>38</v>
      </c>
      <c r="B19" s="19" t="n">
        <f aca="false">B15/B18</f>
        <v>1158.79975801043</v>
      </c>
      <c r="C19" s="19" t="n">
        <f aca="false">C15/C18</f>
        <v>1112.38051247965</v>
      </c>
      <c r="D19" s="4" t="s">
        <v>39</v>
      </c>
    </row>
    <row r="20" customFormat="false" ht="15" hidden="false" customHeight="false" outlineLevel="0" collapsed="false">
      <c r="A20" s="4" t="s">
        <v>40</v>
      </c>
      <c r="B20" s="8" t="n">
        <f aca="false">C10/G10</f>
        <v>0.798780746777973</v>
      </c>
      <c r="C20" s="20" t="n">
        <v>0.88</v>
      </c>
      <c r="D20" s="4" t="s">
        <v>41</v>
      </c>
    </row>
    <row r="21" customFormat="false" ht="15" hidden="false" customHeight="false" outlineLevel="0" collapsed="false">
      <c r="A21" s="4" t="s">
        <v>42</v>
      </c>
      <c r="B21" s="21" t="n">
        <f aca="false">3_AFOLU!$G$43</f>
        <v>0.205626970564101</v>
      </c>
      <c r="C21" s="22" t="s">
        <v>43</v>
      </c>
      <c r="D21" s="4" t="s">
        <v>44</v>
      </c>
    </row>
    <row r="23" customFormat="false" ht="15" hidden="false" customHeight="false" outlineLevel="0" collapsed="false">
      <c r="A23" s="15" t="s">
        <v>45</v>
      </c>
    </row>
    <row r="24" customFormat="false" ht="30" hidden="false" customHeight="true" outlineLevel="0" collapsed="false">
      <c r="A24" s="3" t="s">
        <v>46</v>
      </c>
      <c r="B24" s="3" t="s">
        <v>47</v>
      </c>
      <c r="C24" s="3" t="s">
        <v>48</v>
      </c>
      <c r="D24" s="3" t="s">
        <v>49</v>
      </c>
    </row>
    <row r="25" customFormat="false" ht="15" hidden="false" customHeight="false" outlineLevel="0" collapsed="false">
      <c r="A25" s="4" t="s">
        <v>50</v>
      </c>
      <c r="B25" s="23" t="n">
        <v>8500</v>
      </c>
      <c r="C25" s="4" t="s">
        <v>51</v>
      </c>
      <c r="D25" s="14"/>
    </row>
    <row r="26" customFormat="false" ht="15" hidden="false" customHeight="false" outlineLevel="0" collapsed="false">
      <c r="A26" s="4" t="s">
        <v>52</v>
      </c>
      <c r="B26" s="23" t="n">
        <v>4313</v>
      </c>
      <c r="C26" s="4" t="s">
        <v>51</v>
      </c>
      <c r="D26" s="14" t="s">
        <v>53</v>
      </c>
    </row>
    <row r="27" customFormat="false" ht="15" hidden="false" customHeight="false" outlineLevel="0" collapsed="false">
      <c r="A27" s="4" t="s">
        <v>54</v>
      </c>
      <c r="B27" s="23" t="n">
        <v>2500</v>
      </c>
      <c r="C27" s="4" t="s">
        <v>51</v>
      </c>
      <c r="D27" s="14"/>
    </row>
    <row r="28" customFormat="false" ht="15" hidden="false" customHeight="false" outlineLevel="0" collapsed="false">
      <c r="A28" s="4" t="s">
        <v>55</v>
      </c>
      <c r="B28" s="23" t="n">
        <v>2100</v>
      </c>
      <c r="C28" s="4" t="s">
        <v>56</v>
      </c>
      <c r="D28" s="14"/>
    </row>
    <row r="29" customFormat="false" ht="15" hidden="false" customHeight="false" outlineLevel="0" collapsed="false">
      <c r="A29" s="4" t="s">
        <v>57</v>
      </c>
      <c r="B29" s="23" t="n">
        <v>5800</v>
      </c>
      <c r="C29" s="4" t="s">
        <v>56</v>
      </c>
      <c r="D29" s="14"/>
    </row>
    <row r="30" customFormat="false" ht="15" hidden="false" customHeight="false" outlineLevel="0" collapsed="false">
      <c r="A30" s="4" t="s">
        <v>58</v>
      </c>
      <c r="B30" s="23" t="n">
        <v>1500</v>
      </c>
      <c r="C30" s="4" t="s">
        <v>56</v>
      </c>
      <c r="D30" s="14"/>
    </row>
    <row r="31" customFormat="false" ht="15" hidden="false" customHeight="false" outlineLevel="0" collapsed="false">
      <c r="A31" s="4" t="s">
        <v>59</v>
      </c>
      <c r="B31" s="16" t="n">
        <f aca="false">ROUND(3B_ESTIERCOL!$C$19,-1)</f>
        <v>6110</v>
      </c>
      <c r="C31" s="4" t="s">
        <v>60</v>
      </c>
      <c r="D31" s="14" t="s">
        <v>61</v>
      </c>
    </row>
    <row r="32" customFormat="false" ht="15" hidden="false" customHeight="false" outlineLevel="0" collapsed="false">
      <c r="A32" s="4" t="s">
        <v>62</v>
      </c>
      <c r="B32" s="23" t="n">
        <v>400</v>
      </c>
      <c r="C32" s="4" t="s">
        <v>60</v>
      </c>
      <c r="D32" s="14"/>
    </row>
    <row r="33" customFormat="false" ht="15" hidden="false" customHeight="false" outlineLevel="0" collapsed="false">
      <c r="A33" s="4" t="s">
        <v>63</v>
      </c>
      <c r="B33" s="23" t="n">
        <v>1900</v>
      </c>
      <c r="C33" s="4" t="s">
        <v>60</v>
      </c>
      <c r="D33" s="14"/>
    </row>
    <row r="34" customFormat="false" ht="15" hidden="false" customHeight="false" outlineLevel="0" collapsed="false">
      <c r="A34" s="4" t="s">
        <v>64</v>
      </c>
      <c r="B34" s="16" t="n">
        <f aca="false">ROUND(0.5*3_AFOLU!$F$32,-1)</f>
        <v>7150</v>
      </c>
      <c r="C34" s="4" t="s">
        <v>60</v>
      </c>
      <c r="D34" s="14" t="s">
        <v>65</v>
      </c>
    </row>
    <row r="35" customFormat="false" ht="15" hidden="false" customHeight="false" outlineLevel="0" collapsed="false">
      <c r="A35" s="4" t="s">
        <v>66</v>
      </c>
      <c r="B35" s="23" t="n">
        <v>490</v>
      </c>
      <c r="C35" s="4" t="s">
        <v>67</v>
      </c>
      <c r="D35" s="14" t="s">
        <v>68</v>
      </c>
    </row>
    <row r="36" customFormat="false" ht="15" hidden="false" customHeight="false" outlineLevel="0" collapsed="false">
      <c r="A36" s="4" t="s">
        <v>69</v>
      </c>
      <c r="B36" s="23" t="n">
        <v>75</v>
      </c>
      <c r="C36" s="4" t="s">
        <v>67</v>
      </c>
      <c r="D36" s="14"/>
    </row>
    <row r="37" customFormat="false" ht="15" hidden="false" customHeight="false" outlineLevel="0" collapsed="false">
      <c r="A37" s="4" t="s">
        <v>70</v>
      </c>
      <c r="B37" s="23" t="n">
        <v>800</v>
      </c>
      <c r="C37" s="4" t="s">
        <v>71</v>
      </c>
      <c r="D37" s="14"/>
    </row>
    <row r="38" customFormat="false" ht="15" hidden="false" customHeight="false" outlineLevel="0" collapsed="false">
      <c r="A38" s="4" t="s">
        <v>72</v>
      </c>
      <c r="B38" s="23" t="n">
        <v>80</v>
      </c>
      <c r="C38" s="4" t="s">
        <v>71</v>
      </c>
      <c r="D38" s="14"/>
    </row>
    <row r="39" customFormat="false" ht="15" hidden="false" customHeight="false" outlineLevel="0" collapsed="false">
      <c r="A39" s="10" t="s">
        <v>73</v>
      </c>
      <c r="B39" s="24" t="n">
        <f aca="false">SUM(B25:B38)</f>
        <v>41718</v>
      </c>
    </row>
    <row r="40" customFormat="false" ht="15" hidden="false" customHeight="false" outlineLevel="0" collapsed="false">
      <c r="A40" s="4" t="s">
        <v>74</v>
      </c>
      <c r="B40" s="25" t="n">
        <f aca="false">ROUND(0.5*4A_RSU_FOD!$AN$61,-1)</f>
        <v>3400</v>
      </c>
      <c r="D40" s="14" t="s">
        <v>75</v>
      </c>
    </row>
    <row r="42" customFormat="false" ht="15" hidden="false" customHeight="false" outlineLevel="0" collapsed="false">
      <c r="A42" s="15" t="s">
        <v>76</v>
      </c>
    </row>
    <row r="43" customFormat="false" ht="30" hidden="false" customHeight="true" outlineLevel="0" collapsed="false">
      <c r="A43" s="3" t="s">
        <v>77</v>
      </c>
      <c r="B43" s="3" t="s">
        <v>78</v>
      </c>
      <c r="C43" s="3" t="s">
        <v>29</v>
      </c>
      <c r="D43" s="3"/>
    </row>
    <row r="44" customFormat="false" ht="15" hidden="false" customHeight="false" outlineLevel="0" collapsed="false">
      <c r="A44" s="4" t="s">
        <v>79</v>
      </c>
      <c r="B44" s="26" t="n">
        <f aca="false">CRITERIOS!$B$19</f>
        <v>0.2</v>
      </c>
      <c r="C44" s="4" t="s">
        <v>41</v>
      </c>
    </row>
    <row r="45" customFormat="false" ht="15" hidden="false" customHeight="false" outlineLevel="0" collapsed="false">
      <c r="A45" s="4" t="s">
        <v>80</v>
      </c>
      <c r="B45" s="25" t="n">
        <f aca="false">B15*B44</f>
        <v>41144.1124479668</v>
      </c>
      <c r="C45" s="4" t="s">
        <v>31</v>
      </c>
    </row>
    <row r="46" customFormat="false" ht="15" hidden="false" customHeight="false" outlineLevel="0" collapsed="false">
      <c r="A46" s="4" t="s">
        <v>81</v>
      </c>
      <c r="B46" s="25" t="n">
        <f aca="false">B15-B45</f>
        <v>164576.449791867</v>
      </c>
      <c r="C46" s="4" t="s">
        <v>31</v>
      </c>
    </row>
    <row r="47" customFormat="false" ht="15" hidden="false" customHeight="false" outlineLevel="0" collapsed="false">
      <c r="A47" s="4" t="s">
        <v>82</v>
      </c>
      <c r="B47" s="21" t="n">
        <f aca="false">RESUMEN!$B$39/B15</f>
        <v>0.202789646041139</v>
      </c>
      <c r="C47" s="4" t="s">
        <v>41</v>
      </c>
    </row>
    <row r="48" customFormat="false" ht="15" hidden="false" customHeight="false" outlineLevel="0" collapsed="false">
      <c r="A48" s="4" t="s">
        <v>83</v>
      </c>
      <c r="B48" s="26" t="n">
        <f aca="false">CRITERIOS!$B$18</f>
        <v>0.3</v>
      </c>
      <c r="C48" s="4" t="s">
        <v>41</v>
      </c>
    </row>
    <row r="49" customFormat="false" ht="15" hidden="false" customHeight="false" outlineLevel="0" collapsed="false">
      <c r="A49" s="4" t="s">
        <v>84</v>
      </c>
      <c r="B49" s="25" t="n">
        <f aca="false">B15*B48</f>
        <v>61716.1686719502</v>
      </c>
      <c r="C49" s="4" t="s">
        <v>31</v>
      </c>
    </row>
    <row r="50" customFormat="false" ht="15" hidden="false" customHeight="false" outlineLevel="0" collapsed="false">
      <c r="A50" s="4" t="s">
        <v>85</v>
      </c>
      <c r="B50" s="25" t="n">
        <f aca="false">B15-B49</f>
        <v>144004.393567884</v>
      </c>
      <c r="C50" s="4" t="s">
        <v>31</v>
      </c>
    </row>
    <row r="51" customFormat="false" ht="15" hidden="false" customHeight="false" outlineLevel="0" collapsed="false">
      <c r="A51" s="4" t="s">
        <v>86</v>
      </c>
      <c r="B51" s="16" t="n">
        <f aca="false">B49-RESUMEN!$B$39</f>
        <v>19998.1686719502</v>
      </c>
      <c r="C51" s="4" t="s">
        <v>31</v>
      </c>
    </row>
    <row r="52" customFormat="false" ht="15" hidden="false" customHeight="false" outlineLevel="0" collapsed="false">
      <c r="A52" s="4" t="s">
        <v>87</v>
      </c>
      <c r="B52" s="16" t="n">
        <f aca="false">RESUMEN!$B$40</f>
        <v>3400</v>
      </c>
      <c r="C52" s="4" t="s">
        <v>31</v>
      </c>
    </row>
    <row r="53" customFormat="false" ht="15" hidden="false" customHeight="false" outlineLevel="0" collapsed="false">
      <c r="A53" s="4" t="s">
        <v>88</v>
      </c>
      <c r="B53" s="25" t="n">
        <f aca="false">B51-B52</f>
        <v>16598.1686719502</v>
      </c>
      <c r="C53" s="4" t="s">
        <v>31</v>
      </c>
    </row>
    <row r="55" customFormat="false" ht="15" hidden="false" customHeight="false" outlineLevel="0" collapsed="false">
      <c r="A55" s="2"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70"/>
  </cols>
  <sheetData>
    <row r="1" customFormat="false" ht="16.15" hidden="false" customHeight="false" outlineLevel="0" collapsed="false">
      <c r="A1" s="1" t="s">
        <v>90</v>
      </c>
    </row>
    <row r="2" customFormat="false" ht="15" hidden="false" customHeight="false" outlineLevel="0" collapsed="false">
      <c r="A2" s="2" t="s">
        <v>91</v>
      </c>
    </row>
    <row r="4" customFormat="false" ht="30" hidden="false" customHeight="true" outlineLevel="0" collapsed="false">
      <c r="A4" s="3" t="s">
        <v>92</v>
      </c>
      <c r="B4" s="3" t="s">
        <v>78</v>
      </c>
      <c r="C4" s="3" t="s">
        <v>29</v>
      </c>
      <c r="D4" s="3" t="s">
        <v>93</v>
      </c>
    </row>
    <row r="5" customFormat="false" ht="42" hidden="false" customHeight="true" outlineLevel="0" collapsed="false">
      <c r="A5" s="27" t="s">
        <v>94</v>
      </c>
      <c r="B5" s="28" t="n">
        <v>5</v>
      </c>
      <c r="C5" s="4" t="s">
        <v>95</v>
      </c>
      <c r="D5" s="29" t="s">
        <v>96</v>
      </c>
    </row>
    <row r="6" customFormat="false" ht="42" hidden="false" customHeight="true" outlineLevel="0" collapsed="false">
      <c r="A6" s="27" t="s">
        <v>97</v>
      </c>
      <c r="B6" s="30" t="n">
        <v>5</v>
      </c>
      <c r="C6" s="4" t="s">
        <v>98</v>
      </c>
      <c r="D6" s="29" t="s">
        <v>99</v>
      </c>
    </row>
    <row r="7" customFormat="false" ht="42" hidden="false" customHeight="true" outlineLevel="0" collapsed="false">
      <c r="A7" s="27" t="s">
        <v>100</v>
      </c>
      <c r="B7" s="31" t="n">
        <v>0.03</v>
      </c>
      <c r="C7" s="4" t="s">
        <v>101</v>
      </c>
      <c r="D7" s="29" t="s">
        <v>102</v>
      </c>
    </row>
    <row r="8" customFormat="false" ht="42" hidden="false" customHeight="true" outlineLevel="0" collapsed="false">
      <c r="A8" s="27" t="s">
        <v>103</v>
      </c>
      <c r="B8" s="31" t="n">
        <v>0.5</v>
      </c>
      <c r="C8" s="4" t="s">
        <v>101</v>
      </c>
      <c r="D8" s="29" t="s">
        <v>104</v>
      </c>
    </row>
    <row r="9" customFormat="false" ht="42" hidden="false" customHeight="true" outlineLevel="0" collapsed="false">
      <c r="A9" s="27" t="s">
        <v>105</v>
      </c>
      <c r="B9" s="31" t="n">
        <v>0.6</v>
      </c>
      <c r="C9" s="4" t="s">
        <v>106</v>
      </c>
      <c r="D9" s="29" t="s">
        <v>107</v>
      </c>
    </row>
    <row r="10" customFormat="false" ht="42" hidden="false" customHeight="true" outlineLevel="0" collapsed="false">
      <c r="A10" s="27" t="s">
        <v>108</v>
      </c>
      <c r="B10" s="31" t="n">
        <v>0.99</v>
      </c>
      <c r="C10" s="4" t="s">
        <v>101</v>
      </c>
      <c r="D10" s="29" t="s">
        <v>109</v>
      </c>
    </row>
    <row r="11" customFormat="false" ht="42" hidden="false" customHeight="true" outlineLevel="0" collapsed="false">
      <c r="A11" s="27" t="s">
        <v>110</v>
      </c>
      <c r="B11" s="31" t="n">
        <v>1</v>
      </c>
      <c r="C11" s="4" t="s">
        <v>101</v>
      </c>
      <c r="D11" s="29" t="s">
        <v>111</v>
      </c>
    </row>
    <row r="12" customFormat="false" ht="42" hidden="false" customHeight="true" outlineLevel="0" collapsed="false">
      <c r="A12" s="27" t="s">
        <v>112</v>
      </c>
      <c r="B12" s="31" t="n">
        <v>0.1</v>
      </c>
      <c r="C12" s="4" t="s">
        <v>101</v>
      </c>
      <c r="D12" s="29" t="s">
        <v>113</v>
      </c>
    </row>
    <row r="13" customFormat="false" ht="42" hidden="false" customHeight="true" outlineLevel="0" collapsed="false">
      <c r="A13" s="27" t="s">
        <v>114</v>
      </c>
      <c r="B13" s="28" t="s">
        <v>115</v>
      </c>
      <c r="C13" s="4" t="s">
        <v>116</v>
      </c>
      <c r="D13" s="29" t="s">
        <v>117</v>
      </c>
    </row>
    <row r="14" customFormat="false" ht="42" hidden="false" customHeight="true" outlineLevel="0" collapsed="false">
      <c r="A14" s="27" t="s">
        <v>118</v>
      </c>
      <c r="B14" s="28" t="s">
        <v>115</v>
      </c>
      <c r="C14" s="4" t="s">
        <v>116</v>
      </c>
      <c r="D14" s="29" t="s">
        <v>119</v>
      </c>
    </row>
    <row r="15" customFormat="false" ht="42" hidden="false" customHeight="true" outlineLevel="0" collapsed="false">
      <c r="A15" s="27" t="s">
        <v>120</v>
      </c>
      <c r="B15" s="32" t="n">
        <v>2001</v>
      </c>
      <c r="C15" s="4" t="s">
        <v>121</v>
      </c>
      <c r="D15" s="29" t="s">
        <v>122</v>
      </c>
    </row>
    <row r="16" customFormat="false" ht="42" hidden="false" customHeight="true" outlineLevel="0" collapsed="false">
      <c r="A16" s="27" t="s">
        <v>123</v>
      </c>
      <c r="B16" s="32" t="n">
        <v>2022</v>
      </c>
      <c r="C16" s="4" t="s">
        <v>121</v>
      </c>
      <c r="D16" s="29" t="s">
        <v>124</v>
      </c>
    </row>
    <row r="17" customFormat="false" ht="42" hidden="false" customHeight="true" outlineLevel="0" collapsed="false">
      <c r="A17" s="27" t="s">
        <v>125</v>
      </c>
      <c r="B17" s="33" t="n">
        <v>18.7</v>
      </c>
      <c r="C17" s="4" t="s">
        <v>126</v>
      </c>
      <c r="D17" s="29" t="s">
        <v>127</v>
      </c>
    </row>
    <row r="18" customFormat="false" ht="42" hidden="false" customHeight="true" outlineLevel="0" collapsed="false">
      <c r="A18" s="27" t="s">
        <v>128</v>
      </c>
      <c r="B18" s="34" t="n">
        <v>0.3</v>
      </c>
      <c r="C18" s="4" t="s">
        <v>101</v>
      </c>
      <c r="D18" s="29" t="s">
        <v>129</v>
      </c>
    </row>
    <row r="19" customFormat="false" ht="42" hidden="false" customHeight="true" outlineLevel="0" collapsed="false">
      <c r="A19" s="27" t="s">
        <v>130</v>
      </c>
      <c r="B19" s="34" t="n">
        <v>0.2</v>
      </c>
      <c r="C19" s="4" t="s">
        <v>101</v>
      </c>
      <c r="D19" s="29" t="s">
        <v>131</v>
      </c>
    </row>
    <row r="21" customFormat="false" ht="15" hidden="false" customHeight="false" outlineLevel="0" collapsed="false">
      <c r="A21" s="2" t="s">
        <v>132</v>
      </c>
    </row>
  </sheetData>
  <dataValidations count="1">
    <dataValidation allowBlank="false" errorStyle="stop" operator="between" showDropDown="false" showErrorMessage="false" showInputMessage="false" sqref="B13:B14" type="list">
      <formula1>"SI,NO"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6"/>
    <col collapsed="false" customWidth="true" hidden="false" outlineLevel="0" max="4" min="4" style="0" width="60"/>
  </cols>
  <sheetData>
    <row r="1" customFormat="false" ht="16.15" hidden="false" customHeight="false" outlineLevel="0" collapsed="false">
      <c r="A1" s="1" t="s">
        <v>133</v>
      </c>
    </row>
    <row r="2" customFormat="false" ht="15" hidden="false" customHeight="false" outlineLevel="0" collapsed="false">
      <c r="A2" s="2" t="s">
        <v>134</v>
      </c>
    </row>
    <row r="4" customFormat="false" ht="30" hidden="false" customHeight="true" outlineLevel="0" collapsed="false">
      <c r="A4" s="3" t="s">
        <v>135</v>
      </c>
      <c r="B4" s="3" t="s">
        <v>78</v>
      </c>
      <c r="C4" s="3" t="s">
        <v>29</v>
      </c>
      <c r="D4" s="3" t="s">
        <v>136</v>
      </c>
    </row>
    <row r="5" customFormat="false" ht="15" hidden="false" customHeight="false" outlineLevel="0" collapsed="false">
      <c r="A5" s="27" t="s">
        <v>137</v>
      </c>
      <c r="B5" s="23" t="n">
        <v>47646</v>
      </c>
      <c r="C5" s="4" t="s">
        <v>33</v>
      </c>
      <c r="D5" s="29" t="s">
        <v>138</v>
      </c>
    </row>
    <row r="6" customFormat="false" ht="15" hidden="false" customHeight="false" outlineLevel="0" collapsed="false">
      <c r="A6" s="27" t="s">
        <v>139</v>
      </c>
      <c r="B6" s="23" t="n">
        <v>1425607</v>
      </c>
      <c r="C6" s="4" t="s">
        <v>33</v>
      </c>
      <c r="D6" s="29" t="s">
        <v>138</v>
      </c>
    </row>
    <row r="7" customFormat="false" ht="15" hidden="false" customHeight="false" outlineLevel="0" collapsed="false">
      <c r="A7" s="27" t="s">
        <v>140</v>
      </c>
      <c r="B7" s="35" t="n">
        <f aca="false">B5/B6</f>
        <v>0.0334215530647647</v>
      </c>
      <c r="C7" s="4" t="s">
        <v>101</v>
      </c>
      <c r="D7" s="29" t="s">
        <v>141</v>
      </c>
    </row>
    <row r="8" customFormat="false" ht="15" hidden="false" customHeight="false" outlineLevel="0" collapsed="false">
      <c r="A8" s="27" t="s">
        <v>142</v>
      </c>
      <c r="B8" s="36" t="n">
        <v>177.529</v>
      </c>
      <c r="C8" s="4" t="s">
        <v>37</v>
      </c>
      <c r="D8" s="29" t="s">
        <v>143</v>
      </c>
    </row>
    <row r="9" customFormat="false" ht="15" hidden="false" customHeight="false" outlineLevel="0" collapsed="false">
      <c r="A9" s="27" t="s">
        <v>144</v>
      </c>
      <c r="B9" s="23" t="n">
        <v>28</v>
      </c>
      <c r="C9" s="4" t="s">
        <v>23</v>
      </c>
      <c r="D9" s="29" t="s">
        <v>145</v>
      </c>
    </row>
    <row r="10" customFormat="false" ht="15" hidden="false" customHeight="false" outlineLevel="0" collapsed="false">
      <c r="A10" s="27" t="s">
        <v>146</v>
      </c>
      <c r="B10" s="23" t="n">
        <v>265</v>
      </c>
      <c r="C10" s="4" t="s">
        <v>23</v>
      </c>
      <c r="D10" s="29" t="s">
        <v>145</v>
      </c>
    </row>
    <row r="11" customFormat="false" ht="15" hidden="false" customHeight="false" outlineLevel="0" collapsed="false">
      <c r="A11" s="27" t="s">
        <v>147</v>
      </c>
      <c r="B11" s="23" t="n">
        <v>1430</v>
      </c>
      <c r="C11" s="4" t="s">
        <v>23</v>
      </c>
      <c r="D11" s="29" t="s">
        <v>145</v>
      </c>
    </row>
    <row r="12" customFormat="false" ht="15" hidden="false" customHeight="false" outlineLevel="0" collapsed="false">
      <c r="A12" s="27" t="s">
        <v>148</v>
      </c>
      <c r="B12" s="23" t="n">
        <v>2088</v>
      </c>
      <c r="C12" s="4" t="s">
        <v>23</v>
      </c>
      <c r="D12" s="29" t="s">
        <v>145</v>
      </c>
    </row>
    <row r="13" customFormat="false" ht="15" hidden="false" customHeight="false" outlineLevel="0" collapsed="false">
      <c r="A13" s="27" t="s">
        <v>149</v>
      </c>
      <c r="B13" s="37" t="n">
        <f aca="false">44/28</f>
        <v>1.57142857142857</v>
      </c>
      <c r="C13" s="4" t="s">
        <v>23</v>
      </c>
      <c r="D13" s="29" t="s">
        <v>150</v>
      </c>
    </row>
    <row r="14" customFormat="false" ht="15" hidden="false" customHeight="false" outlineLevel="0" collapsed="false">
      <c r="A14" s="27" t="s">
        <v>151</v>
      </c>
      <c r="B14" s="37" t="n">
        <f aca="false">44/12</f>
        <v>3.66666666666667</v>
      </c>
      <c r="C14" s="4" t="s">
        <v>23</v>
      </c>
      <c r="D14" s="29" t="s">
        <v>150</v>
      </c>
    </row>
    <row r="15" customFormat="false" ht="15" hidden="false" customHeight="false" outlineLevel="0" collapsed="false">
      <c r="A15" s="27" t="s">
        <v>152</v>
      </c>
      <c r="B15" s="36" t="n">
        <v>0.454</v>
      </c>
      <c r="C15" s="4" t="s">
        <v>153</v>
      </c>
      <c r="D15" s="29" t="s">
        <v>154</v>
      </c>
    </row>
    <row r="16" customFormat="false" ht="15" hidden="false" customHeight="false" outlineLevel="0" collapsed="false">
      <c r="A16" s="27" t="s">
        <v>155</v>
      </c>
      <c r="B16" s="36" t="n">
        <v>1.617</v>
      </c>
      <c r="C16" s="4" t="s">
        <v>156</v>
      </c>
      <c r="D16" s="29" t="s">
        <v>157</v>
      </c>
    </row>
    <row r="17" customFormat="false" ht="15" hidden="false" customHeight="false" outlineLevel="0" collapsed="false">
      <c r="A17" s="27" t="s">
        <v>158</v>
      </c>
      <c r="B17" s="36" t="n">
        <v>2.24</v>
      </c>
      <c r="C17" s="4" t="s">
        <v>156</v>
      </c>
      <c r="D17" s="29" t="s">
        <v>159</v>
      </c>
    </row>
    <row r="18" customFormat="false" ht="15" hidden="false" customHeight="false" outlineLevel="0" collapsed="false">
      <c r="A18" s="27" t="s">
        <v>160</v>
      </c>
      <c r="B18" s="36" t="n">
        <v>2.68</v>
      </c>
      <c r="C18" s="4" t="s">
        <v>156</v>
      </c>
      <c r="D18" s="29" t="s">
        <v>159</v>
      </c>
    </row>
    <row r="19" customFormat="false" ht="15" hidden="false" customHeight="false" outlineLevel="0" collapsed="false">
      <c r="A19" s="27" t="s">
        <v>161</v>
      </c>
      <c r="B19" s="38" t="n">
        <v>0.00038</v>
      </c>
      <c r="C19" s="4" t="s">
        <v>162</v>
      </c>
      <c r="D19" s="29" t="s">
        <v>163</v>
      </c>
    </row>
    <row r="20" customFormat="false" ht="15" hidden="false" customHeight="false" outlineLevel="0" collapsed="false">
      <c r="A20" s="27" t="s">
        <v>164</v>
      </c>
      <c r="B20" s="38" t="n">
        <v>0.00024</v>
      </c>
      <c r="C20" s="4" t="s">
        <v>165</v>
      </c>
      <c r="D20" s="29" t="s">
        <v>163</v>
      </c>
    </row>
    <row r="21" customFormat="false" ht="15" hidden="false" customHeight="false" outlineLevel="0" collapsed="false">
      <c r="A21" s="27" t="s">
        <v>166</v>
      </c>
      <c r="B21" s="38" t="n">
        <v>0.00014</v>
      </c>
      <c r="C21" s="4" t="s">
        <v>162</v>
      </c>
      <c r="D21" s="29" t="s">
        <v>163</v>
      </c>
    </row>
    <row r="22" customFormat="false" ht="15" hidden="false" customHeight="false" outlineLevel="0" collapsed="false">
      <c r="A22" s="27" t="s">
        <v>167</v>
      </c>
      <c r="B22" s="38" t="n">
        <v>0.000125</v>
      </c>
      <c r="C22" s="4" t="s">
        <v>165</v>
      </c>
      <c r="D22" s="29" t="s">
        <v>163</v>
      </c>
    </row>
    <row r="23" customFormat="false" ht="15" hidden="false" customHeight="false" outlineLevel="0" collapsed="false">
      <c r="A23" s="27" t="s">
        <v>168</v>
      </c>
      <c r="B23" s="39" t="n">
        <v>0.0096</v>
      </c>
      <c r="C23" s="4" t="s">
        <v>169</v>
      </c>
      <c r="D23" s="29" t="s">
        <v>170</v>
      </c>
    </row>
    <row r="24" customFormat="false" ht="15" hidden="false" customHeight="false" outlineLevel="0" collapsed="false">
      <c r="A24" s="27" t="s">
        <v>171</v>
      </c>
      <c r="B24" s="39" t="n">
        <v>0.1</v>
      </c>
      <c r="C24" s="4" t="s">
        <v>101</v>
      </c>
      <c r="D24" s="29" t="s">
        <v>172</v>
      </c>
    </row>
    <row r="25" customFormat="false" ht="15" hidden="false" customHeight="false" outlineLevel="0" collapsed="false">
      <c r="A25" s="27" t="s">
        <v>173</v>
      </c>
      <c r="B25" s="39" t="n">
        <v>0.07</v>
      </c>
      <c r="C25" s="4" t="s">
        <v>101</v>
      </c>
      <c r="D25" s="29" t="s">
        <v>174</v>
      </c>
    </row>
    <row r="26" customFormat="false" ht="15" hidden="false" customHeight="false" outlineLevel="0" collapsed="false">
      <c r="A26" s="27" t="s">
        <v>175</v>
      </c>
      <c r="B26" s="39" t="n">
        <v>0.01</v>
      </c>
      <c r="C26" s="4" t="s">
        <v>169</v>
      </c>
      <c r="D26" s="29" t="s">
        <v>176</v>
      </c>
    </row>
    <row r="27" customFormat="false" ht="15" hidden="false" customHeight="false" outlineLevel="0" collapsed="false">
      <c r="A27" s="27" t="s">
        <v>177</v>
      </c>
      <c r="B27" s="39" t="n">
        <v>0.011</v>
      </c>
      <c r="C27" s="4" t="s">
        <v>169</v>
      </c>
      <c r="D27" s="29" t="s">
        <v>176</v>
      </c>
    </row>
    <row r="28" customFormat="false" ht="15" hidden="false" customHeight="false" outlineLevel="0" collapsed="false">
      <c r="A28" s="27" t="s">
        <v>178</v>
      </c>
      <c r="B28" s="9" t="n">
        <v>0.81</v>
      </c>
      <c r="C28" s="4" t="s">
        <v>179</v>
      </c>
      <c r="D28" s="29" t="s">
        <v>180</v>
      </c>
    </row>
    <row r="29" customFormat="false" ht="15" hidden="false" customHeight="false" outlineLevel="0" collapsed="false">
      <c r="A29" s="27" t="s">
        <v>181</v>
      </c>
      <c r="B29" s="23" t="n">
        <v>54</v>
      </c>
      <c r="C29" s="4" t="s">
        <v>182</v>
      </c>
      <c r="D29" s="29" t="s">
        <v>183</v>
      </c>
    </row>
    <row r="30" customFormat="false" ht="23.85" hidden="false" customHeight="false" outlineLevel="0" collapsed="false">
      <c r="A30" s="27" t="s">
        <v>184</v>
      </c>
      <c r="B30" s="9" t="n">
        <v>0.2</v>
      </c>
      <c r="C30" s="4" t="s">
        <v>101</v>
      </c>
      <c r="D30" s="29" t="s">
        <v>185</v>
      </c>
    </row>
    <row r="31" customFormat="false" ht="23.85" hidden="false" customHeight="false" outlineLevel="0" collapsed="false">
      <c r="A31" s="27" t="s">
        <v>186</v>
      </c>
      <c r="B31" s="9" t="n">
        <v>8</v>
      </c>
      <c r="C31" s="4" t="s">
        <v>187</v>
      </c>
      <c r="D31" s="29" t="s">
        <v>188</v>
      </c>
    </row>
    <row r="32" customFormat="false" ht="15" hidden="false" customHeight="false" outlineLevel="0" collapsed="false">
      <c r="A32" s="27" t="s">
        <v>189</v>
      </c>
      <c r="B32" s="39" t="n">
        <v>0.005</v>
      </c>
      <c r="C32" s="4" t="s">
        <v>169</v>
      </c>
      <c r="D32" s="29"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6"/>
    <col collapsed="false" customWidth="true" hidden="false" outlineLevel="0" max="6" min="6" style="0" width="34"/>
  </cols>
  <sheetData>
    <row r="1" customFormat="false" ht="16.15" hidden="false" customHeight="false" outlineLevel="0" collapsed="false">
      <c r="A1" s="1" t="s">
        <v>191</v>
      </c>
    </row>
    <row r="2" customFormat="false" ht="15" hidden="false" customHeight="false" outlineLevel="0" collapsed="false">
      <c r="A2" s="2" t="s">
        <v>192</v>
      </c>
    </row>
    <row r="4" customFormat="false" ht="30" hidden="false" customHeight="true" outlineLevel="0" collapsed="false">
      <c r="A4" s="3" t="s">
        <v>193</v>
      </c>
      <c r="B4" s="3" t="s">
        <v>194</v>
      </c>
      <c r="C4" s="3" t="s">
        <v>195</v>
      </c>
      <c r="D4" s="3" t="s">
        <v>196</v>
      </c>
      <c r="E4" s="3" t="s">
        <v>197</v>
      </c>
      <c r="F4" s="3" t="s">
        <v>136</v>
      </c>
    </row>
    <row r="5" customFormat="false" ht="23.85" hidden="false" customHeight="false" outlineLevel="0" collapsed="false">
      <c r="A5" s="4" t="s">
        <v>198</v>
      </c>
      <c r="B5" s="23" t="n">
        <v>77040</v>
      </c>
      <c r="C5" s="18" t="n">
        <f aca="false">SUPUESTOS_FE!$B$15</f>
        <v>0.454</v>
      </c>
      <c r="D5" s="6" t="n">
        <f aca="false">B5*C5</f>
        <v>34976.16</v>
      </c>
      <c r="E5" s="4" t="s">
        <v>199</v>
      </c>
      <c r="F5" s="29" t="s">
        <v>200</v>
      </c>
    </row>
    <row r="6" customFormat="false" ht="23.85" hidden="false" customHeight="false" outlineLevel="0" collapsed="false">
      <c r="A6" s="4" t="s">
        <v>201</v>
      </c>
      <c r="B6" s="23" t="n">
        <v>38520</v>
      </c>
      <c r="C6" s="18" t="n">
        <f aca="false">SUPUESTOS_FE!$B$15</f>
        <v>0.454</v>
      </c>
      <c r="D6" s="6" t="n">
        <f aca="false">B6*C6</f>
        <v>17488.08</v>
      </c>
      <c r="E6" s="4" t="s">
        <v>199</v>
      </c>
      <c r="F6" s="29" t="s">
        <v>200</v>
      </c>
    </row>
    <row r="7" customFormat="false" ht="23.85" hidden="false" customHeight="false" outlineLevel="0" collapsed="false">
      <c r="A7" s="4" t="s">
        <v>202</v>
      </c>
      <c r="B7" s="23" t="n">
        <v>21440</v>
      </c>
      <c r="C7" s="18" t="n">
        <f aca="false">SUPUESTOS_FE!$B$15</f>
        <v>0.454</v>
      </c>
      <c r="D7" s="6" t="n">
        <f aca="false">B7*C7</f>
        <v>9733.76</v>
      </c>
      <c r="E7" s="4" t="s">
        <v>199</v>
      </c>
      <c r="F7" s="29" t="s">
        <v>200</v>
      </c>
    </row>
    <row r="8" customFormat="false" ht="15" hidden="false" customHeight="false" outlineLevel="0" collapsed="false">
      <c r="A8" s="4" t="s">
        <v>203</v>
      </c>
      <c r="B8" s="23" t="n">
        <v>3200</v>
      </c>
      <c r="C8" s="18" t="n">
        <f aca="false">SUPUESTOS_FE!$B$15</f>
        <v>0.454</v>
      </c>
      <c r="D8" s="6" t="n">
        <f aca="false">B8*C8</f>
        <v>1452.8</v>
      </c>
      <c r="E8" s="4" t="s">
        <v>204</v>
      </c>
      <c r="F8" s="29" t="s">
        <v>205</v>
      </c>
    </row>
    <row r="9" customFormat="false" ht="15" hidden="false" customHeight="false" outlineLevel="0" collapsed="false">
      <c r="A9" s="10" t="s">
        <v>206</v>
      </c>
      <c r="B9" s="24" t="n">
        <f aca="false">SUM(B5:B8)</f>
        <v>140200</v>
      </c>
      <c r="D9" s="12" t="n">
        <f aca="false">SUM(D5:D8)</f>
        <v>63650.8</v>
      </c>
    </row>
    <row r="11" customFormat="false" ht="30" hidden="false" customHeight="true" outlineLevel="0" collapsed="false">
      <c r="A11" s="3" t="s">
        <v>207</v>
      </c>
      <c r="B11" s="3" t="s">
        <v>208</v>
      </c>
      <c r="C11" s="3" t="s">
        <v>209</v>
      </c>
      <c r="D11" s="3" t="s">
        <v>210</v>
      </c>
      <c r="E11" s="3" t="s">
        <v>211</v>
      </c>
      <c r="F11" s="3" t="s">
        <v>196</v>
      </c>
    </row>
    <row r="12" customFormat="false" ht="15" hidden="false" customHeight="false" outlineLevel="0" collapsed="false">
      <c r="A12" s="4" t="s">
        <v>212</v>
      </c>
      <c r="B12" s="23" t="n">
        <v>258479000</v>
      </c>
      <c r="C12" s="40" t="n">
        <f aca="false">SUPUESTOS_FE!$B$7</f>
        <v>0.0334215530647647</v>
      </c>
      <c r="D12" s="25" t="n">
        <f aca="false">B12*C12</f>
        <v>8638769.61462731</v>
      </c>
      <c r="E12" s="18" t="n">
        <f aca="false">SUPUESTOS_FE!$B$16</f>
        <v>1.617</v>
      </c>
      <c r="F12" s="6" t="n">
        <f aca="false">D12*E12/1000</f>
        <v>13968.8904668524</v>
      </c>
    </row>
    <row r="14" customFormat="false" ht="15" hidden="false" customHeight="false" outlineLevel="0" collapsed="false">
      <c r="A14" s="10" t="s">
        <v>213</v>
      </c>
      <c r="F14" s="12" t="n">
        <f aca="false">$D$9+$F$12</f>
        <v>77619.6904668524</v>
      </c>
    </row>
    <row r="16" customFormat="false" ht="15" hidden="false" customHeight="false" outlineLevel="0" collapsed="false">
      <c r="A16" s="2"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40"/>
    <col collapsed="false" customWidth="true" hidden="false" outlineLevel="0" max="7" min="6" style="0" width="16"/>
  </cols>
  <sheetData>
    <row r="1" customFormat="false" ht="16.15" hidden="false" customHeight="false" outlineLevel="0" collapsed="false">
      <c r="A1" s="1" t="s">
        <v>215</v>
      </c>
    </row>
    <row r="2" customFormat="false" ht="15" hidden="false" customHeight="false" outlineLevel="0" collapsed="false">
      <c r="A2" s="2" t="s">
        <v>216</v>
      </c>
    </row>
    <row r="4" customFormat="false" ht="30" hidden="false" customHeight="true" outlineLevel="0" collapsed="false">
      <c r="A4" s="3" t="s">
        <v>135</v>
      </c>
      <c r="B4" s="3" t="s">
        <v>78</v>
      </c>
      <c r="C4" s="3" t="s">
        <v>29</v>
      </c>
      <c r="D4" s="3" t="s">
        <v>197</v>
      </c>
      <c r="E4" s="3" t="s">
        <v>136</v>
      </c>
    </row>
    <row r="5" customFormat="false" ht="15" hidden="false" customHeight="false" outlineLevel="0" collapsed="false">
      <c r="A5" s="4" t="s">
        <v>217</v>
      </c>
      <c r="B5" s="23" t="n">
        <v>16200</v>
      </c>
      <c r="C5" s="4" t="s">
        <v>218</v>
      </c>
      <c r="D5" s="4" t="s">
        <v>199</v>
      </c>
      <c r="E5" s="29" t="s">
        <v>219</v>
      </c>
    </row>
    <row r="6" customFormat="false" ht="15" hidden="false" customHeight="false" outlineLevel="0" collapsed="false">
      <c r="A6" s="4" t="s">
        <v>220</v>
      </c>
      <c r="B6" s="41" t="n">
        <v>0.85</v>
      </c>
      <c r="C6" s="4" t="s">
        <v>101</v>
      </c>
      <c r="D6" s="4" t="s">
        <v>199</v>
      </c>
      <c r="E6" s="29" t="s">
        <v>221</v>
      </c>
    </row>
    <row r="7" customFormat="false" ht="15" hidden="false" customHeight="false" outlineLevel="0" collapsed="false">
      <c r="A7" s="4" t="s">
        <v>222</v>
      </c>
      <c r="B7" s="23" t="n">
        <v>15000</v>
      </c>
      <c r="C7" s="4" t="s">
        <v>223</v>
      </c>
      <c r="D7" s="4" t="s">
        <v>199</v>
      </c>
      <c r="E7" s="29" t="s">
        <v>224</v>
      </c>
    </row>
    <row r="8" customFormat="false" ht="15" hidden="false" customHeight="false" outlineLevel="0" collapsed="false">
      <c r="A8" s="4" t="s">
        <v>225</v>
      </c>
      <c r="B8" s="23" t="n">
        <v>40000</v>
      </c>
      <c r="C8" s="4" t="s">
        <v>223</v>
      </c>
      <c r="D8" s="4" t="s">
        <v>199</v>
      </c>
      <c r="E8" s="29" t="s">
        <v>226</v>
      </c>
    </row>
    <row r="9" customFormat="false" ht="15" hidden="false" customHeight="false" outlineLevel="0" collapsed="false">
      <c r="A9" s="4" t="s">
        <v>227</v>
      </c>
      <c r="B9" s="42" t="n">
        <v>10.5</v>
      </c>
      <c r="C9" s="4" t="s">
        <v>228</v>
      </c>
      <c r="D9" s="4" t="s">
        <v>199</v>
      </c>
      <c r="E9" s="29" t="s">
        <v>229</v>
      </c>
    </row>
    <row r="10" customFormat="false" ht="15" hidden="false" customHeight="false" outlineLevel="0" collapsed="false">
      <c r="A10" s="4" t="s">
        <v>230</v>
      </c>
      <c r="B10" s="42" t="n">
        <v>15</v>
      </c>
      <c r="C10" s="4" t="s">
        <v>228</v>
      </c>
      <c r="D10" s="4" t="s">
        <v>199</v>
      </c>
      <c r="E10" s="29" t="s">
        <v>229</v>
      </c>
    </row>
    <row r="11" customFormat="false" ht="15" hidden="false" customHeight="false" outlineLevel="0" collapsed="false">
      <c r="A11" s="4" t="s">
        <v>231</v>
      </c>
      <c r="B11" s="41" t="n">
        <v>0.18</v>
      </c>
      <c r="C11" s="4" t="s">
        <v>101</v>
      </c>
      <c r="D11" s="4" t="s">
        <v>232</v>
      </c>
      <c r="E11" s="29" t="s">
        <v>233</v>
      </c>
    </row>
    <row r="13" customFormat="false" ht="30" hidden="false" customHeight="true" outlineLevel="0" collapsed="false">
      <c r="A13" s="3" t="s">
        <v>234</v>
      </c>
      <c r="B13" s="3" t="s">
        <v>235</v>
      </c>
      <c r="C13" s="3" t="s">
        <v>236</v>
      </c>
      <c r="D13" s="3" t="s">
        <v>237</v>
      </c>
      <c r="E13" s="3" t="s">
        <v>5</v>
      </c>
      <c r="F13" s="3" t="s">
        <v>6</v>
      </c>
      <c r="G13" s="3" t="s">
        <v>238</v>
      </c>
    </row>
    <row r="14" customFormat="false" ht="15" hidden="false" customHeight="false" outlineLevel="0" collapsed="false">
      <c r="A14" s="4" t="s">
        <v>239</v>
      </c>
      <c r="B14" s="25" t="n">
        <f aca="false">B5*B6</f>
        <v>13770</v>
      </c>
      <c r="C14" s="25" t="n">
        <f aca="false">B14*B7*B9/100</f>
        <v>21687750</v>
      </c>
      <c r="D14" s="6" t="n">
        <f aca="false">C14*SUPUESTOS_FE!$B$17/1000</f>
        <v>48580.56</v>
      </c>
      <c r="E14" s="6" t="n">
        <f aca="false">C14*SUPUESTOS_FE!$B$19/1000*SUPUESTOS_FE!$B$9</f>
        <v>230.75766</v>
      </c>
      <c r="F14" s="6" t="n">
        <f aca="false">C14*SUPUESTOS_FE!$B$20/1000*SUPUESTOS_FE!$B$10</f>
        <v>1379.3409</v>
      </c>
      <c r="G14" s="6" t="n">
        <f aca="false">SUM(D14:F14)</f>
        <v>50190.65856</v>
      </c>
    </row>
    <row r="15" customFormat="false" ht="15" hidden="false" customHeight="false" outlineLevel="0" collapsed="false">
      <c r="A15" s="4" t="s">
        <v>240</v>
      </c>
      <c r="B15" s="25" t="n">
        <f aca="false">B5*(1-B6)</f>
        <v>2430</v>
      </c>
      <c r="C15" s="25" t="n">
        <f aca="false">B15*B8*B10/100</f>
        <v>14580000</v>
      </c>
      <c r="D15" s="6" t="n">
        <f aca="false">C15*SUPUESTOS_FE!$B$18/1000</f>
        <v>39074.4</v>
      </c>
      <c r="E15" s="6" t="n">
        <f aca="false">C15*SUPUESTOS_FE!$B$21/1000*SUPUESTOS_FE!$B$9</f>
        <v>57.1536</v>
      </c>
      <c r="F15" s="6" t="n">
        <f aca="false">C15*SUPUESTOS_FE!$B$22/1000*SUPUESTOS_FE!$B$10</f>
        <v>482.9625</v>
      </c>
      <c r="G15" s="6" t="n">
        <f aca="false">SUM(D15:F15)</f>
        <v>39614.5161</v>
      </c>
    </row>
    <row r="16" customFormat="false" ht="15" hidden="false" customHeight="false" outlineLevel="0" collapsed="false">
      <c r="A16" s="43" t="s">
        <v>241</v>
      </c>
      <c r="D16" s="7" t="n">
        <f aca="false">SUM(D14:D15)</f>
        <v>87654.96</v>
      </c>
      <c r="E16" s="7" t="n">
        <f aca="false">SUM(E14:E15)</f>
        <v>287.91126</v>
      </c>
      <c r="F16" s="7" t="n">
        <f aca="false">SUM(F14:F15)</f>
        <v>1862.3034</v>
      </c>
      <c r="G16" s="7" t="n">
        <f aca="false">SUM(G14:G15)</f>
        <v>89805.17466</v>
      </c>
    </row>
    <row r="17" customFormat="false" ht="15" hidden="false" customHeight="false" outlineLevel="0" collapsed="false">
      <c r="A17" s="4" t="s">
        <v>242</v>
      </c>
      <c r="D17" s="6" t="n">
        <f aca="false">-D16*$B$11</f>
        <v>-15777.8928</v>
      </c>
      <c r="E17" s="6" t="n">
        <f aca="false">-E16*$B$11</f>
        <v>-51.8240268</v>
      </c>
      <c r="F17" s="6" t="n">
        <f aca="false">-F16*$B$11</f>
        <v>-335.214612</v>
      </c>
      <c r="G17" s="6" t="n">
        <f aca="false">-G16*$B$11</f>
        <v>-16164.9314388</v>
      </c>
    </row>
    <row r="18" customFormat="false" ht="15" hidden="false" customHeight="false" outlineLevel="0" collapsed="false">
      <c r="A18" s="10" t="s">
        <v>243</v>
      </c>
      <c r="D18" s="12" t="n">
        <f aca="false">D16+D17</f>
        <v>71877.0672</v>
      </c>
      <c r="E18" s="12" t="n">
        <f aca="false">E16+E17</f>
        <v>236.0872332</v>
      </c>
      <c r="F18" s="12" t="n">
        <f aca="false">F16+F17</f>
        <v>1527.088788</v>
      </c>
      <c r="G18" s="12" t="n">
        <f aca="false">G16+G17</f>
        <v>73640.2432212</v>
      </c>
    </row>
    <row r="20" customFormat="false" ht="15" hidden="false" customHeight="false" outlineLevel="0" collapsed="false">
      <c r="A20" s="2"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1"/>
    <col collapsed="false" customWidth="true" hidden="false" outlineLevel="0" max="3" min="3" style="0" width="9"/>
    <col collapsed="false" customWidth="true" hidden="false" outlineLevel="0" max="4" min="4" style="0" width="11"/>
    <col collapsed="false" customWidth="true" hidden="false" outlineLevel="0" max="6" min="5" style="0" width="10"/>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1"/>
    <col collapsed="false" customWidth="true" hidden="false" outlineLevel="0" max="12" min="11" style="0" width="13"/>
    <col collapsed="false" customWidth="true" hidden="false" outlineLevel="0" max="13" min="13" style="0" width="42"/>
    <col collapsed="false" customWidth="true" hidden="false" outlineLevel="0" max="15" min="15" style="0" width="8"/>
    <col collapsed="false" customWidth="true" hidden="false" outlineLevel="0" max="16" min="16" style="0" width="11"/>
  </cols>
  <sheetData>
    <row r="1" customFormat="false" ht="16.15" hidden="false" customHeight="false" outlineLevel="0" collapsed="false">
      <c r="A1" s="1" t="s">
        <v>245</v>
      </c>
    </row>
    <row r="2" customFormat="false" ht="15" hidden="false" customHeight="false" outlineLevel="0" collapsed="false">
      <c r="A2" s="2" t="s">
        <v>246</v>
      </c>
    </row>
    <row r="4" customFormat="false" ht="30" hidden="false" customHeight="true" outlineLevel="0" collapsed="false">
      <c r="A4" s="3" t="s">
        <v>247</v>
      </c>
      <c r="B4" s="3" t="s">
        <v>248</v>
      </c>
      <c r="C4" s="3" t="s">
        <v>249</v>
      </c>
      <c r="D4" s="3" t="s">
        <v>250</v>
      </c>
      <c r="E4" s="3" t="s">
        <v>251</v>
      </c>
      <c r="F4" s="3" t="s">
        <v>252</v>
      </c>
      <c r="G4" s="3" t="s">
        <v>253</v>
      </c>
      <c r="H4" s="3" t="s">
        <v>254</v>
      </c>
      <c r="I4" s="3" t="s">
        <v>255</v>
      </c>
      <c r="J4" s="3" t="s">
        <v>256</v>
      </c>
      <c r="K4" s="3" t="s">
        <v>257</v>
      </c>
      <c r="L4" s="3" t="s">
        <v>258</v>
      </c>
      <c r="M4" s="3" t="s">
        <v>259</v>
      </c>
      <c r="O4" s="44" t="s">
        <v>260</v>
      </c>
      <c r="P4" s="44" t="s">
        <v>261</v>
      </c>
    </row>
    <row r="5" customFormat="false" ht="51.75" hidden="false" customHeight="true" outlineLevel="0" collapsed="false">
      <c r="A5" s="4" t="s">
        <v>262</v>
      </c>
      <c r="B5" s="23" t="n">
        <v>4820</v>
      </c>
      <c r="C5" s="41" t="n">
        <v>0.95</v>
      </c>
      <c r="D5" s="36" t="n">
        <v>5.94</v>
      </c>
      <c r="E5" s="41" t="n">
        <v>0.17</v>
      </c>
      <c r="F5" s="45" t="n">
        <f aca="false">IF(CRITERIOS!$B$17&lt;15,0.01,IF(CRITERIOS!$B$17&lt;=25,0.015,0.02))</f>
        <v>0.015</v>
      </c>
      <c r="G5" s="6" t="n">
        <f aca="false">B5*C5*D5*365*E5*0.67*F5/1000</f>
        <v>16.96152653415</v>
      </c>
      <c r="H5" s="41" t="n">
        <v>51</v>
      </c>
      <c r="I5" s="36" t="n">
        <v>0.02</v>
      </c>
      <c r="J5" s="41" t="n">
        <v>0.3</v>
      </c>
      <c r="K5" s="6" t="n">
        <f aca="false">B5*C5*H5*I5*SUPUESTOS_FE!$B$13/1000*SUPUESTOS_FE!$B$10</f>
        <v>1944.96295714286</v>
      </c>
      <c r="L5" s="6" t="n">
        <f aca="false">B5*C5*H5*J5*SUPUESTOS_FE!$B$26*SUPUESTOS_FE!$B$13/1000*SUPUESTOS_FE!$B$10</f>
        <v>291.744443571429</v>
      </c>
      <c r="M5" s="29" t="s">
        <v>263</v>
      </c>
      <c r="O5" s="46" t="n">
        <v>10</v>
      </c>
      <c r="P5" s="41" t="n">
        <v>0.66</v>
      </c>
    </row>
    <row r="6" customFormat="false" ht="51.75" hidden="false" customHeight="true" outlineLevel="0" collapsed="false">
      <c r="A6" s="4" t="s">
        <v>264</v>
      </c>
      <c r="B6" s="23" t="n">
        <v>4820</v>
      </c>
      <c r="C6" s="41" t="n">
        <v>0.05</v>
      </c>
      <c r="D6" s="36" t="n">
        <v>5.94</v>
      </c>
      <c r="E6" s="41" t="n">
        <v>0.17</v>
      </c>
      <c r="F6" s="39" t="n">
        <v>0.0047</v>
      </c>
      <c r="G6" s="6" t="n">
        <f aca="false">B6*C6*D6*365*E6*0.67*F6/1000</f>
        <v>0.279716402493</v>
      </c>
      <c r="H6" s="41" t="n">
        <v>51</v>
      </c>
      <c r="I6" s="36" t="n">
        <v>0</v>
      </c>
      <c r="J6" s="41" t="n">
        <v>0</v>
      </c>
      <c r="K6" s="6" t="n">
        <f aca="false">B6*C6*H6*I6*SUPUESTOS_FE!$B$13/1000*SUPUESTOS_FE!$B$10</f>
        <v>0</v>
      </c>
      <c r="L6" s="6" t="n">
        <f aca="false">B6*C6*H6*J6*SUPUESTOS_FE!$B$26*SUPUESTOS_FE!$B$13/1000*SUPUESTOS_FE!$B$10</f>
        <v>0</v>
      </c>
      <c r="M6" s="29" t="s">
        <v>265</v>
      </c>
      <c r="O6" s="46" t="n">
        <v>11</v>
      </c>
      <c r="P6" s="41" t="n">
        <v>0.68</v>
      </c>
    </row>
    <row r="7" customFormat="false" ht="51.75" hidden="false" customHeight="true" outlineLevel="0" collapsed="false">
      <c r="A7" s="4" t="s">
        <v>266</v>
      </c>
      <c r="B7" s="23" t="n">
        <v>12450</v>
      </c>
      <c r="C7" s="41" t="n">
        <v>0.8</v>
      </c>
      <c r="D7" s="36" t="n">
        <v>0.34</v>
      </c>
      <c r="E7" s="41" t="n">
        <v>0.45</v>
      </c>
      <c r="F7" s="45" t="n">
        <f aca="false">INDEX($P$5:$P$23,MATCH(MAX(10,MIN(28,ROUND(CRITERIOS!$B$17,0))),$O$5:$O$23,0))</f>
        <v>0.77</v>
      </c>
      <c r="G7" s="6" t="n">
        <f aca="false">B7*C7*D7*365*E7*0.67*F7/1000</f>
        <v>286.95193758</v>
      </c>
      <c r="H7" s="41" t="n">
        <v>12.6</v>
      </c>
      <c r="I7" s="36" t="n">
        <v>0.005</v>
      </c>
      <c r="J7" s="41" t="n">
        <v>0.4</v>
      </c>
      <c r="K7" s="6" t="n">
        <f aca="false">B7*C7*H7*I7*SUPUESTOS_FE!$B$13/1000*SUPUESTOS_FE!$B$10</f>
        <v>261.3006</v>
      </c>
      <c r="L7" s="6" t="n">
        <f aca="false">B7*C7*H7*J7*SUPUESTOS_FE!$B$26*SUPUESTOS_FE!$B$13/1000*SUPUESTOS_FE!$B$10</f>
        <v>209.04048</v>
      </c>
      <c r="M7" s="29" t="s">
        <v>267</v>
      </c>
      <c r="O7" s="46" t="n">
        <v>12</v>
      </c>
      <c r="P7" s="41" t="n">
        <v>0.7</v>
      </c>
    </row>
    <row r="8" customFormat="false" ht="51.75" hidden="false" customHeight="true" outlineLevel="0" collapsed="false">
      <c r="A8" s="4" t="s">
        <v>268</v>
      </c>
      <c r="B8" s="23" t="n">
        <v>12450</v>
      </c>
      <c r="C8" s="41" t="n">
        <v>0.2</v>
      </c>
      <c r="D8" s="36" t="n">
        <v>0.34</v>
      </c>
      <c r="E8" s="41" t="n">
        <v>0.45</v>
      </c>
      <c r="F8" s="45" t="n">
        <f aca="false">IF(CRITERIOS!$B$17&lt;15,0.02,IF(CRITERIOS!$B$17&lt;=25,0.04,0.05))</f>
        <v>0.04</v>
      </c>
      <c r="G8" s="6" t="n">
        <f aca="false">B8*C8*D8*365*E8*0.67*F8/1000</f>
        <v>3.72664854</v>
      </c>
      <c r="H8" s="41" t="n">
        <v>12.6</v>
      </c>
      <c r="I8" s="36" t="n">
        <v>0.005</v>
      </c>
      <c r="J8" s="41" t="n">
        <v>0.5</v>
      </c>
      <c r="K8" s="6" t="n">
        <f aca="false">B8*C8*H8*I8*SUPUESTOS_FE!$B$13/1000*SUPUESTOS_FE!$B$10</f>
        <v>65.32515</v>
      </c>
      <c r="L8" s="6" t="n">
        <f aca="false">B8*C8*H8*J8*SUPUESTOS_FE!$B$26*SUPUESTOS_FE!$B$13/1000*SUPUESTOS_FE!$B$10</f>
        <v>65.32515</v>
      </c>
      <c r="M8" s="29" t="s">
        <v>269</v>
      </c>
      <c r="O8" s="46" t="n">
        <v>13</v>
      </c>
      <c r="P8" s="41" t="n">
        <v>0.71</v>
      </c>
    </row>
    <row r="9" customFormat="false" ht="51.75" hidden="false" customHeight="true" outlineLevel="0" collapsed="false">
      <c r="A9" s="4" t="s">
        <v>270</v>
      </c>
      <c r="B9" s="23" t="n">
        <v>285000</v>
      </c>
      <c r="C9" s="41" t="n">
        <v>1</v>
      </c>
      <c r="D9" s="36" t="n">
        <v>0.014</v>
      </c>
      <c r="E9" s="41" t="n">
        <v>0.36</v>
      </c>
      <c r="F9" s="39" t="n">
        <v>0.015</v>
      </c>
      <c r="G9" s="6" t="n">
        <f aca="false">B9*C9*D9*365*E9*0.67*F9/1000</f>
        <v>5.2690743</v>
      </c>
      <c r="H9" s="41" t="n">
        <v>0.34</v>
      </c>
      <c r="I9" s="36" t="n">
        <v>0.001</v>
      </c>
      <c r="J9" s="41" t="n">
        <v>0.4</v>
      </c>
      <c r="K9" s="6" t="n">
        <f aca="false">B9*C9*H9*I9*SUPUESTOS_FE!$B$13/1000*SUPUESTOS_FE!$B$10</f>
        <v>40.3519285714286</v>
      </c>
      <c r="L9" s="6" t="n">
        <f aca="false">B9*C9*H9*J9*SUPUESTOS_FE!$B$26*SUPUESTOS_FE!$B$13/1000*SUPUESTOS_FE!$B$10</f>
        <v>161.407714285714</v>
      </c>
      <c r="M9" s="29" t="s">
        <v>271</v>
      </c>
      <c r="O9" s="46" t="n">
        <v>14</v>
      </c>
      <c r="P9" s="41" t="n">
        <v>0.73</v>
      </c>
    </row>
    <row r="10" customFormat="false" ht="15" hidden="false" customHeight="false" outlineLevel="0" collapsed="false">
      <c r="O10" s="46" t="n">
        <v>15</v>
      </c>
      <c r="P10" s="41" t="n">
        <v>0.74</v>
      </c>
    </row>
    <row r="11" customFormat="false" ht="15" hidden="false" customHeight="false" outlineLevel="0" collapsed="false">
      <c r="A11" s="15" t="s">
        <v>272</v>
      </c>
      <c r="O11" s="46" t="n">
        <v>16</v>
      </c>
      <c r="P11" s="41" t="n">
        <v>0.75</v>
      </c>
    </row>
    <row r="12" customFormat="false" ht="30" hidden="false" customHeight="true" outlineLevel="0" collapsed="false">
      <c r="A12" s="3" t="s">
        <v>273</v>
      </c>
      <c r="B12" s="3" t="s">
        <v>248</v>
      </c>
      <c r="C12" s="3" t="s">
        <v>5</v>
      </c>
      <c r="D12" s="3" t="s">
        <v>274</v>
      </c>
      <c r="E12" s="3" t="s">
        <v>275</v>
      </c>
      <c r="F12" s="3" t="s">
        <v>276</v>
      </c>
      <c r="O12" s="46" t="n">
        <v>17</v>
      </c>
      <c r="P12" s="41" t="n">
        <v>0.76</v>
      </c>
    </row>
    <row r="13" customFormat="false" ht="15" hidden="false" customHeight="false" outlineLevel="0" collapsed="false">
      <c r="A13" s="4" t="s">
        <v>277</v>
      </c>
      <c r="B13" s="25" t="n">
        <f aca="false">B5</f>
        <v>4820</v>
      </c>
      <c r="C13" s="6" t="n">
        <f aca="false">(G5+G6)*SUPUESTOS_FE!$B$9</f>
        <v>482.754802226004</v>
      </c>
      <c r="D13" s="6" t="n">
        <f aca="false">K5+K6</f>
        <v>1944.96295714286</v>
      </c>
      <c r="E13" s="6" t="n">
        <f aca="false">L5+L6</f>
        <v>291.744443571429</v>
      </c>
      <c r="F13" s="6" t="n">
        <f aca="false">SUM(C13:E13)</f>
        <v>2719.46220294029</v>
      </c>
      <c r="O13" s="46" t="n">
        <v>18</v>
      </c>
      <c r="P13" s="41" t="n">
        <v>0.77</v>
      </c>
    </row>
    <row r="14" customFormat="false" ht="15" hidden="false" customHeight="false" outlineLevel="0" collapsed="false">
      <c r="A14" s="4" t="s">
        <v>278</v>
      </c>
      <c r="B14" s="25" t="n">
        <f aca="false">B7</f>
        <v>12450</v>
      </c>
      <c r="C14" s="6" t="n">
        <f aca="false">(G7+G8)*SUPUESTOS_FE!$B$9</f>
        <v>8139.00041136</v>
      </c>
      <c r="D14" s="6" t="n">
        <f aca="false">K7+K8</f>
        <v>326.62575</v>
      </c>
      <c r="E14" s="6" t="n">
        <f aca="false">L7+L8</f>
        <v>274.36563</v>
      </c>
      <c r="F14" s="6" t="n">
        <f aca="false">SUM(C14:E14)</f>
        <v>8739.99179136</v>
      </c>
      <c r="O14" s="46" t="n">
        <v>19</v>
      </c>
      <c r="P14" s="41" t="n">
        <v>0.77</v>
      </c>
    </row>
    <row r="15" customFormat="false" ht="15" hidden="false" customHeight="false" outlineLevel="0" collapsed="false">
      <c r="A15" s="4" t="s">
        <v>279</v>
      </c>
      <c r="B15" s="25" t="n">
        <f aca="false">B9</f>
        <v>285000</v>
      </c>
      <c r="C15" s="6" t="n">
        <f aca="false">(G9)*SUPUESTOS_FE!$B$9</f>
        <v>147.5340804</v>
      </c>
      <c r="D15" s="6" t="n">
        <f aca="false">K9</f>
        <v>40.3519285714286</v>
      </c>
      <c r="E15" s="6" t="n">
        <f aca="false">L9</f>
        <v>161.407714285714</v>
      </c>
      <c r="F15" s="6" t="n">
        <f aca="false">SUM(C15:E15)</f>
        <v>349.293723257143</v>
      </c>
      <c r="O15" s="46" t="n">
        <v>20</v>
      </c>
      <c r="P15" s="41" t="n">
        <v>0.78</v>
      </c>
    </row>
    <row r="16" customFormat="false" ht="15" hidden="false" customHeight="false" outlineLevel="0" collapsed="false">
      <c r="O16" s="46" t="n">
        <v>21</v>
      </c>
      <c r="P16" s="41" t="n">
        <v>0.78</v>
      </c>
    </row>
    <row r="17" customFormat="false" ht="15" hidden="false" customHeight="false" outlineLevel="0" collapsed="false">
      <c r="A17" s="43" t="s">
        <v>280</v>
      </c>
      <c r="C17" s="7" t="n">
        <f aca="false">G7*SUPUESTOS_FE!$B$9</f>
        <v>8034.65425224</v>
      </c>
      <c r="O17" s="46" t="n">
        <v>22</v>
      </c>
      <c r="P17" s="41" t="n">
        <v>0.78</v>
      </c>
    </row>
    <row r="18" customFormat="false" ht="15" hidden="false" customHeight="false" outlineLevel="0" collapsed="false">
      <c r="A18" s="4" t="s">
        <v>281</v>
      </c>
      <c r="C18" s="6" t="n">
        <f aca="false">0.8*C17</f>
        <v>6427.723401792</v>
      </c>
      <c r="O18" s="46" t="n">
        <v>23</v>
      </c>
      <c r="P18" s="41" t="n">
        <v>0.79</v>
      </c>
    </row>
    <row r="19" customFormat="false" ht="15" hidden="false" customHeight="false" outlineLevel="0" collapsed="false">
      <c r="A19" s="4" t="s">
        <v>282</v>
      </c>
      <c r="C19" s="7" t="n">
        <f aca="false">C18*0.95</f>
        <v>6106.3372317024</v>
      </c>
      <c r="O19" s="46" t="n">
        <v>24</v>
      </c>
      <c r="P19" s="41" t="n">
        <v>0.79</v>
      </c>
    </row>
    <row r="20" customFormat="false" ht="15" hidden="false" customHeight="false" outlineLevel="0" collapsed="false">
      <c r="O20" s="46" t="n">
        <v>25</v>
      </c>
      <c r="P20" s="41" t="n">
        <v>0.79</v>
      </c>
    </row>
    <row r="21" customFormat="false" ht="15" hidden="false" customHeight="false" outlineLevel="0" collapsed="false">
      <c r="A21" s="2" t="s">
        <v>283</v>
      </c>
      <c r="O21" s="46" t="n">
        <v>26</v>
      </c>
      <c r="P21" s="41" t="n">
        <v>0.79</v>
      </c>
    </row>
    <row r="22" customFormat="false" ht="15" hidden="false" customHeight="false" outlineLevel="0" collapsed="false">
      <c r="O22" s="46" t="n">
        <v>27</v>
      </c>
      <c r="P22" s="41" t="n">
        <v>0.8</v>
      </c>
    </row>
    <row r="23" customFormat="false" ht="15" hidden="false" customHeight="false" outlineLevel="0" collapsed="false">
      <c r="O23" s="46" t="n">
        <v>28</v>
      </c>
      <c r="P23" s="41" t="n">
        <v>0.8</v>
      </c>
    </row>
    <row r="25" customFormat="false" ht="15" hidden="false" customHeight="false" outlineLevel="0" collapsed="false">
      <c r="O25" s="2" t="s">
        <v>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5"/>
    <col collapsed="false" customWidth="true" hidden="false" outlineLevel="0" max="8" min="8" style="0" width="40"/>
  </cols>
  <sheetData>
    <row r="1" customFormat="false" ht="16.15" hidden="false" customHeight="false" outlineLevel="0" collapsed="false">
      <c r="A1" s="1" t="s">
        <v>285</v>
      </c>
    </row>
    <row r="3" customFormat="false" ht="15" hidden="false" customHeight="false" outlineLevel="0" collapsed="false">
      <c r="A3" s="15" t="s">
        <v>286</v>
      </c>
    </row>
    <row r="4" customFormat="false" ht="30" hidden="false" customHeight="true" outlineLevel="0" collapsed="false">
      <c r="A4" s="3" t="s">
        <v>287</v>
      </c>
      <c r="B4" s="3" t="s">
        <v>288</v>
      </c>
      <c r="C4" s="3" t="s">
        <v>289</v>
      </c>
      <c r="D4" s="3" t="s">
        <v>253</v>
      </c>
      <c r="E4" s="3" t="s">
        <v>290</v>
      </c>
      <c r="F4" s="3"/>
      <c r="G4" s="3"/>
      <c r="H4" s="3" t="s">
        <v>291</v>
      </c>
    </row>
    <row r="5" customFormat="false" ht="15" hidden="false" customHeight="false" outlineLevel="0" collapsed="false">
      <c r="A5" s="4" t="s">
        <v>292</v>
      </c>
      <c r="B5" s="23" t="n">
        <v>1687</v>
      </c>
      <c r="C5" s="42" t="n">
        <v>53.7</v>
      </c>
      <c r="D5" s="6" t="n">
        <f aca="false">B5*C5/1000</f>
        <v>90.5919</v>
      </c>
      <c r="E5" s="6" t="n">
        <f aca="false">D5*SUPUESTOS_FE!$B$9</f>
        <v>2536.5732</v>
      </c>
      <c r="H5" s="14" t="s">
        <v>293</v>
      </c>
    </row>
    <row r="6" customFormat="false" ht="15" hidden="false" customHeight="false" outlineLevel="0" collapsed="false">
      <c r="A6" s="4" t="s">
        <v>294</v>
      </c>
      <c r="B6" s="23" t="n">
        <v>2651</v>
      </c>
      <c r="C6" s="42" t="n">
        <v>55.8</v>
      </c>
      <c r="D6" s="6" t="n">
        <f aca="false">B6*C6/1000</f>
        <v>147.9258</v>
      </c>
      <c r="E6" s="6" t="n">
        <f aca="false">D6*SUPUESTOS_FE!$B$9</f>
        <v>4141.9224</v>
      </c>
      <c r="H6" s="14" t="s">
        <v>293</v>
      </c>
    </row>
    <row r="7" customFormat="false" ht="15" hidden="false" customHeight="false" outlineLevel="0" collapsed="false">
      <c r="A7" s="4" t="s">
        <v>295</v>
      </c>
      <c r="B7" s="23" t="n">
        <v>482</v>
      </c>
      <c r="C7" s="42" t="n">
        <v>35</v>
      </c>
      <c r="D7" s="6" t="n">
        <f aca="false">B7*C7/1000</f>
        <v>16.87</v>
      </c>
      <c r="E7" s="6" t="n">
        <f aca="false">D7*SUPUESTOS_FE!$B$9</f>
        <v>472.36</v>
      </c>
      <c r="H7" s="14" t="s">
        <v>296</v>
      </c>
    </row>
    <row r="8" customFormat="false" ht="15" hidden="false" customHeight="false" outlineLevel="0" collapsed="false">
      <c r="A8" s="4" t="s">
        <v>297</v>
      </c>
      <c r="B8" s="23" t="n">
        <v>12450</v>
      </c>
      <c r="C8" s="42" t="n">
        <v>1.5</v>
      </c>
      <c r="D8" s="6" t="n">
        <f aca="false">B8*C8/1000</f>
        <v>18.675</v>
      </c>
      <c r="E8" s="6" t="n">
        <f aca="false">D8*SUPUESTOS_FE!$B$9</f>
        <v>522.9</v>
      </c>
      <c r="H8" s="14" t="s">
        <v>296</v>
      </c>
    </row>
    <row r="9" customFormat="false" ht="15" hidden="false" customHeight="false" outlineLevel="0" collapsed="false">
      <c r="A9" s="4" t="s">
        <v>298</v>
      </c>
      <c r="B9" s="23" t="n">
        <v>1200</v>
      </c>
      <c r="C9" s="42" t="n">
        <v>5</v>
      </c>
      <c r="D9" s="6" t="n">
        <f aca="false">B9*C9/1000</f>
        <v>6</v>
      </c>
      <c r="E9" s="6" t="n">
        <f aca="false">D9*SUPUESTOS_FE!$B$9</f>
        <v>168</v>
      </c>
      <c r="H9" s="14" t="s">
        <v>299</v>
      </c>
    </row>
    <row r="10" customFormat="false" ht="15" hidden="false" customHeight="false" outlineLevel="0" collapsed="false">
      <c r="A10" s="10" t="s">
        <v>300</v>
      </c>
      <c r="D10" s="12" t="n">
        <f aca="false">SUM(D5:D9)</f>
        <v>280.0627</v>
      </c>
      <c r="E10" s="12" t="n">
        <f aca="false">SUM(E5:E9)</f>
        <v>7841.7556</v>
      </c>
    </row>
    <row r="12" customFormat="false" ht="15" hidden="false" customHeight="false" outlineLevel="0" collapsed="false">
      <c r="A12" s="15" t="s">
        <v>301</v>
      </c>
    </row>
    <row r="13" customFormat="false" ht="30" hidden="false" customHeight="true" outlineLevel="0" collapsed="false">
      <c r="A13" s="3" t="s">
        <v>273</v>
      </c>
      <c r="B13" s="3" t="s">
        <v>248</v>
      </c>
      <c r="C13" s="3" t="s">
        <v>5</v>
      </c>
      <c r="D13" s="3" t="s">
        <v>302</v>
      </c>
      <c r="E13" s="3" t="s">
        <v>303</v>
      </c>
      <c r="F13" s="3" t="s">
        <v>238</v>
      </c>
      <c r="G13" s="3"/>
      <c r="H13" s="3" t="s">
        <v>49</v>
      </c>
    </row>
    <row r="14" customFormat="false" ht="15" hidden="false" customHeight="true" outlineLevel="0" collapsed="false">
      <c r="A14" s="4" t="s">
        <v>304</v>
      </c>
      <c r="B14" s="16" t="n">
        <f aca="false">3B_ESTIERCOL!$B$13</f>
        <v>4820</v>
      </c>
      <c r="C14" s="5" t="n">
        <f aca="false">3B_ESTIERCOL!$C$13</f>
        <v>482.754802226004</v>
      </c>
      <c r="D14" s="5" t="n">
        <f aca="false">3B_ESTIERCOL!$D$13</f>
        <v>1944.96295714286</v>
      </c>
      <c r="E14" s="5" t="n">
        <f aca="false">3B_ESTIERCOL!$E$13</f>
        <v>291.744443571429</v>
      </c>
      <c r="F14" s="6" t="n">
        <f aca="false">SUM(C14:E14)</f>
        <v>2719.46220294029</v>
      </c>
      <c r="H14" s="29" t="s">
        <v>305</v>
      </c>
    </row>
    <row r="15" customFormat="false" ht="15" hidden="false" customHeight="false" outlineLevel="0" collapsed="false">
      <c r="A15" s="4" t="s">
        <v>306</v>
      </c>
      <c r="B15" s="16" t="n">
        <f aca="false">3B_ESTIERCOL!$B$14</f>
        <v>12450</v>
      </c>
      <c r="C15" s="5" t="n">
        <f aca="false">3B_ESTIERCOL!$C$14</f>
        <v>8139.00041136</v>
      </c>
      <c r="D15" s="5" t="n">
        <f aca="false">3B_ESTIERCOL!$D$14</f>
        <v>326.62575</v>
      </c>
      <c r="E15" s="5" t="n">
        <f aca="false">3B_ESTIERCOL!$E$14</f>
        <v>274.36563</v>
      </c>
      <c r="F15" s="6" t="n">
        <f aca="false">SUM(C15:E15)</f>
        <v>8739.99179136</v>
      </c>
      <c r="H15" s="29"/>
    </row>
    <row r="16" customFormat="false" ht="15" hidden="false" customHeight="false" outlineLevel="0" collapsed="false">
      <c r="A16" s="4" t="s">
        <v>270</v>
      </c>
      <c r="B16" s="16" t="n">
        <f aca="false">3B_ESTIERCOL!$B$15</f>
        <v>285000</v>
      </c>
      <c r="C16" s="5" t="n">
        <f aca="false">3B_ESTIERCOL!$C$15</f>
        <v>147.5340804</v>
      </c>
      <c r="D16" s="5" t="n">
        <f aca="false">3B_ESTIERCOL!$D$15</f>
        <v>40.3519285714286</v>
      </c>
      <c r="E16" s="5" t="n">
        <f aca="false">3B_ESTIERCOL!$E$15</f>
        <v>161.407714285714</v>
      </c>
      <c r="F16" s="6" t="n">
        <f aca="false">SUM(C16:E16)</f>
        <v>349.293723257143</v>
      </c>
      <c r="H16" s="29"/>
    </row>
    <row r="17" customFormat="false" ht="15" hidden="false" customHeight="false" outlineLevel="0" collapsed="false">
      <c r="A17" s="10" t="s">
        <v>307</v>
      </c>
      <c r="C17" s="12" t="n">
        <f aca="false">SUM(C14:C16)</f>
        <v>8769.28929398601</v>
      </c>
      <c r="D17" s="12" t="n">
        <f aca="false">SUM(D14:D16)</f>
        <v>2311.94063571429</v>
      </c>
      <c r="E17" s="12" t="n">
        <f aca="false">SUM(E14:E16)</f>
        <v>727.517787857143</v>
      </c>
      <c r="F17" s="12" t="n">
        <f aca="false">SUM(F14:F16)</f>
        <v>11808.7477175574</v>
      </c>
    </row>
    <row r="19" customFormat="false" ht="15" hidden="false" customHeight="false" outlineLevel="0" collapsed="false">
      <c r="A19" s="15" t="s">
        <v>308</v>
      </c>
    </row>
    <row r="20" customFormat="false" ht="30" hidden="false" customHeight="true" outlineLevel="0" collapsed="false">
      <c r="A20" s="3" t="s">
        <v>136</v>
      </c>
      <c r="B20" s="3" t="s">
        <v>309</v>
      </c>
      <c r="C20" s="3" t="s">
        <v>310</v>
      </c>
      <c r="D20" s="3" t="s">
        <v>311</v>
      </c>
      <c r="E20" s="3" t="s">
        <v>312</v>
      </c>
      <c r="F20" s="3" t="s">
        <v>290</v>
      </c>
      <c r="G20" s="3"/>
      <c r="H20" s="3" t="s">
        <v>49</v>
      </c>
    </row>
    <row r="21" customFormat="false" ht="15" hidden="false" customHeight="false" outlineLevel="0" collapsed="false">
      <c r="A21" s="4" t="s">
        <v>313</v>
      </c>
      <c r="B21" s="9" t="n">
        <v>773.92</v>
      </c>
      <c r="C21" s="17" t="n">
        <v>1</v>
      </c>
      <c r="D21" s="45" t="n">
        <f aca="false">SUPUESTOS_FE!$B$23</f>
        <v>0.0096</v>
      </c>
      <c r="E21" s="6" t="n">
        <f aca="false">B21*C21*D21*SUPUESTOS_FE!$B$13</f>
        <v>11.675136</v>
      </c>
      <c r="F21" s="6" t="n">
        <f aca="false">E21*SUPUESTOS_FE!$B$10</f>
        <v>3093.91104</v>
      </c>
      <c r="H21" s="14" t="s">
        <v>314</v>
      </c>
    </row>
    <row r="22" customFormat="false" ht="23.85" hidden="false" customHeight="false" outlineLevel="0" collapsed="false">
      <c r="A22" s="4" t="s">
        <v>315</v>
      </c>
      <c r="B22" s="9" t="n">
        <v>211.34</v>
      </c>
      <c r="C22" s="17" t="n">
        <v>1</v>
      </c>
      <c r="D22" s="45" t="n">
        <f aca="false">SUPUESTOS_FE!$B$23</f>
        <v>0.0096</v>
      </c>
      <c r="E22" s="6" t="n">
        <f aca="false">B22*C22*D22*SUPUESTOS_FE!$B$13</f>
        <v>3.18821485714286</v>
      </c>
      <c r="F22" s="6" t="n">
        <f aca="false">E22*SUPUESTOS_FE!$B$10</f>
        <v>844.876937142857</v>
      </c>
      <c r="H22" s="29" t="s">
        <v>316</v>
      </c>
    </row>
    <row r="23" customFormat="false" ht="35.05" hidden="false" customHeight="false" outlineLevel="0" collapsed="false">
      <c r="A23" s="4" t="s">
        <v>317</v>
      </c>
      <c r="B23" s="6" t="n">
        <f aca="false">B21</f>
        <v>773.92</v>
      </c>
      <c r="C23" s="45" t="n">
        <f aca="false">SUPUESTOS_FE!$B$24</f>
        <v>0.1</v>
      </c>
      <c r="D23" s="45" t="n">
        <f aca="false">SUPUESTOS_FE!$B$26</f>
        <v>0.01</v>
      </c>
      <c r="E23" s="6" t="n">
        <f aca="false">B23*C23*D23*SUPUESTOS_FE!$B$13</f>
        <v>1.21616</v>
      </c>
      <c r="F23" s="6" t="n">
        <f aca="false">E23*SUPUESTOS_FE!$B$10</f>
        <v>322.2824</v>
      </c>
      <c r="H23" s="29" t="s">
        <v>318</v>
      </c>
    </row>
    <row r="24" customFormat="false" ht="15" hidden="false" customHeight="false" outlineLevel="0" collapsed="false">
      <c r="A24" s="4" t="s">
        <v>319</v>
      </c>
      <c r="B24" s="6" t="n">
        <f aca="false">B21+B22</f>
        <v>985.26</v>
      </c>
      <c r="C24" s="45" t="n">
        <f aca="false">SUPUESTOS_FE!$B$25</f>
        <v>0.07</v>
      </c>
      <c r="D24" s="45" t="n">
        <f aca="false">SUPUESTOS_FE!$B$27</f>
        <v>0.011</v>
      </c>
      <c r="E24" s="6" t="n">
        <f aca="false">B24*C24*D24*SUPUESTOS_FE!$B$13</f>
        <v>1.1921646</v>
      </c>
      <c r="F24" s="6" t="n">
        <f aca="false">E24*SUPUESTOS_FE!$B$10</f>
        <v>315.923619</v>
      </c>
      <c r="H24" s="14" t="s">
        <v>320</v>
      </c>
    </row>
    <row r="25" customFormat="false" ht="15" hidden="false" customHeight="false" outlineLevel="0" collapsed="false">
      <c r="A25" s="10" t="s">
        <v>321</v>
      </c>
      <c r="F25" s="12" t="n">
        <f aca="false">SUM(F21:F24)</f>
        <v>4576.99399614286</v>
      </c>
    </row>
    <row r="27" customFormat="false" ht="15" hidden="false" customHeight="false" outlineLevel="0" collapsed="false">
      <c r="A27" s="15" t="s">
        <v>322</v>
      </c>
    </row>
    <row r="28" customFormat="false" ht="30" hidden="false" customHeight="true" outlineLevel="0" collapsed="false">
      <c r="A28" s="3" t="s">
        <v>323</v>
      </c>
      <c r="B28" s="3" t="s">
        <v>324</v>
      </c>
      <c r="C28" s="3" t="s">
        <v>325</v>
      </c>
      <c r="D28" s="3" t="s">
        <v>326</v>
      </c>
      <c r="E28" s="3" t="s">
        <v>327</v>
      </c>
      <c r="F28" s="3" t="s">
        <v>328</v>
      </c>
      <c r="G28" s="3"/>
      <c r="H28" s="3" t="s">
        <v>136</v>
      </c>
    </row>
    <row r="29" customFormat="false" ht="15" hidden="false" customHeight="false" outlineLevel="0" collapsed="false">
      <c r="A29" s="4" t="s">
        <v>329</v>
      </c>
      <c r="B29" s="23" t="n">
        <v>390</v>
      </c>
      <c r="C29" s="42" t="n">
        <v>23.5</v>
      </c>
      <c r="D29" s="47" t="n">
        <f aca="false">CRITERIOS!$B$6</f>
        <v>5</v>
      </c>
      <c r="E29" s="6" t="n">
        <f aca="false">B29*(C29-D29)*SUPUESTOS_FE!$B$14</f>
        <v>26455</v>
      </c>
      <c r="F29" s="6" t="n">
        <f aca="false">E29/CRITERIOS!$B$5</f>
        <v>5291</v>
      </c>
      <c r="H29" s="14" t="s">
        <v>330</v>
      </c>
    </row>
    <row r="30" customFormat="false" ht="15" hidden="false" customHeight="false" outlineLevel="0" collapsed="false">
      <c r="A30" s="4" t="s">
        <v>331</v>
      </c>
      <c r="B30" s="23" t="n">
        <v>130</v>
      </c>
      <c r="C30" s="42" t="n">
        <v>75.4</v>
      </c>
      <c r="D30" s="47" t="n">
        <f aca="false">CRITERIOS!$B$6</f>
        <v>5</v>
      </c>
      <c r="E30" s="6" t="n">
        <f aca="false">B30*(C30-D30)*SUPUESTOS_FE!$B$14</f>
        <v>33557.3333333333</v>
      </c>
      <c r="F30" s="6" t="n">
        <f aca="false">E30/CRITERIOS!$B$5</f>
        <v>6711.46666666667</v>
      </c>
      <c r="H30" s="14" t="s">
        <v>332</v>
      </c>
    </row>
    <row r="31" customFormat="false" ht="15" hidden="false" customHeight="false" outlineLevel="0" collapsed="false">
      <c r="A31" s="4" t="s">
        <v>333</v>
      </c>
      <c r="B31" s="23" t="n">
        <v>60</v>
      </c>
      <c r="C31" s="42" t="n">
        <v>57.4</v>
      </c>
      <c r="D31" s="47" t="n">
        <f aca="false">CRITERIOS!$B$6</f>
        <v>5</v>
      </c>
      <c r="E31" s="6" t="n">
        <f aca="false">B31*(C31-D31)*SUPUESTOS_FE!$B$14</f>
        <v>11528</v>
      </c>
      <c r="F31" s="6" t="n">
        <f aca="false">E31/CRITERIOS!$B$5</f>
        <v>2305.6</v>
      </c>
      <c r="H31" s="14" t="s">
        <v>334</v>
      </c>
    </row>
    <row r="32" customFormat="false" ht="15" hidden="false" customHeight="false" outlineLevel="0" collapsed="false">
      <c r="A32" s="10" t="s">
        <v>335</v>
      </c>
      <c r="B32" s="24" t="n">
        <f aca="false">SUM(B29:B31)</f>
        <v>580</v>
      </c>
      <c r="E32" s="12" t="n">
        <f aca="false">SUM(E29:E31)</f>
        <v>71540.3333333333</v>
      </c>
      <c r="F32" s="12" t="n">
        <f aca="false">SUM(F29:F31)</f>
        <v>14308.0666666667</v>
      </c>
    </row>
    <row r="33" customFormat="false" ht="15" hidden="false" customHeight="false" outlineLevel="0" collapsed="false">
      <c r="A33" s="2" t="s">
        <v>336</v>
      </c>
    </row>
    <row r="35" customFormat="false" ht="15" hidden="false" customHeight="false" outlineLevel="0" collapsed="false">
      <c r="A35" s="15" t="s">
        <v>337</v>
      </c>
    </row>
    <row r="36" customFormat="false" ht="30" hidden="false" customHeight="true" outlineLevel="0" collapsed="false">
      <c r="A36" s="3" t="s">
        <v>338</v>
      </c>
      <c r="B36" s="3" t="s">
        <v>339</v>
      </c>
      <c r="C36" s="3" t="s">
        <v>4</v>
      </c>
      <c r="D36" s="3" t="s">
        <v>340</v>
      </c>
      <c r="E36" s="3" t="s">
        <v>341</v>
      </c>
      <c r="F36" s="3" t="s">
        <v>238</v>
      </c>
      <c r="G36" s="3" t="s">
        <v>342</v>
      </c>
      <c r="H36" s="3"/>
    </row>
    <row r="37" customFormat="false" ht="15" hidden="false" customHeight="false" outlineLevel="0" collapsed="false">
      <c r="A37" s="4" t="s">
        <v>343</v>
      </c>
      <c r="B37" s="4" t="s">
        <v>344</v>
      </c>
      <c r="C37" s="6" t="n">
        <v>0</v>
      </c>
      <c r="D37" s="6" t="n">
        <f aca="false">$E$10</f>
        <v>7841.7556</v>
      </c>
      <c r="E37" s="6" t="n">
        <v>0</v>
      </c>
      <c r="F37" s="6" t="n">
        <f aca="false">SUM(C37:E37)</f>
        <v>7841.7556</v>
      </c>
      <c r="G37" s="48" t="n">
        <v>0.18</v>
      </c>
    </row>
    <row r="38" customFormat="false" ht="15" hidden="false" customHeight="false" outlineLevel="0" collapsed="false">
      <c r="A38" s="4" t="s">
        <v>345</v>
      </c>
      <c r="B38" s="4" t="s">
        <v>346</v>
      </c>
      <c r="C38" s="6" t="n">
        <v>0</v>
      </c>
      <c r="D38" s="6" t="n">
        <f aca="false">$C$17</f>
        <v>8769.28929398601</v>
      </c>
      <c r="E38" s="6" t="n">
        <v>0</v>
      </c>
      <c r="F38" s="6" t="n">
        <f aca="false">SUM(C38:E38)</f>
        <v>8769.28929398601</v>
      </c>
      <c r="G38" s="48" t="n">
        <v>0.27</v>
      </c>
    </row>
    <row r="39" customFormat="false" ht="15" hidden="false" customHeight="false" outlineLevel="0" collapsed="false">
      <c r="A39" s="4" t="s">
        <v>347</v>
      </c>
      <c r="B39" s="4" t="s">
        <v>346</v>
      </c>
      <c r="C39" s="6" t="n">
        <v>0</v>
      </c>
      <c r="D39" s="6" t="n">
        <v>0</v>
      </c>
      <c r="E39" s="6" t="n">
        <f aca="false">$D$17+$E$17</f>
        <v>3039.45842357143</v>
      </c>
      <c r="F39" s="6" t="n">
        <f aca="false">SUM(C39:E39)</f>
        <v>3039.45842357143</v>
      </c>
      <c r="G39" s="48" t="n">
        <v>0.38</v>
      </c>
    </row>
    <row r="40" customFormat="false" ht="15" hidden="false" customHeight="false" outlineLevel="0" collapsed="false">
      <c r="A40" s="4" t="s">
        <v>348</v>
      </c>
      <c r="B40" s="4" t="s">
        <v>349</v>
      </c>
      <c r="C40" s="6" t="n">
        <v>0</v>
      </c>
      <c r="D40" s="6" t="n">
        <v>0</v>
      </c>
      <c r="E40" s="6" t="n">
        <f aca="false">F21+F22</f>
        <v>3938.78797714286</v>
      </c>
      <c r="F40" s="6" t="n">
        <f aca="false">SUM(C40:E40)</f>
        <v>3938.78797714286</v>
      </c>
      <c r="G40" s="48" t="n">
        <v>0.41</v>
      </c>
    </row>
    <row r="41" customFormat="false" ht="15" hidden="false" customHeight="false" outlineLevel="0" collapsed="false">
      <c r="A41" s="4" t="s">
        <v>350</v>
      </c>
      <c r="B41" s="4" t="s">
        <v>351</v>
      </c>
      <c r="C41" s="6" t="n">
        <v>0</v>
      </c>
      <c r="D41" s="6" t="n">
        <v>0</v>
      </c>
      <c r="E41" s="6" t="n">
        <f aca="false">F23+F24</f>
        <v>638.206019</v>
      </c>
      <c r="F41" s="6" t="n">
        <f aca="false">SUM(C41:E41)</f>
        <v>638.206019</v>
      </c>
      <c r="G41" s="48" t="n">
        <v>0.41</v>
      </c>
    </row>
    <row r="42" customFormat="false" ht="15" hidden="false" customHeight="false" outlineLevel="0" collapsed="false">
      <c r="A42" s="4" t="s">
        <v>352</v>
      </c>
      <c r="B42" s="4" t="s">
        <v>353</v>
      </c>
      <c r="C42" s="6" t="n">
        <f aca="false">$F$32</f>
        <v>14308.0666666667</v>
      </c>
      <c r="D42" s="6" t="n">
        <v>0</v>
      </c>
      <c r="E42" s="6" t="n">
        <v>0</v>
      </c>
      <c r="F42" s="6" t="n">
        <f aca="false">SUM(C42:E42)</f>
        <v>14308.0666666667</v>
      </c>
      <c r="G42" s="48" t="n">
        <v>0.5</v>
      </c>
    </row>
    <row r="43" customFormat="false" ht="15" hidden="false" customHeight="false" outlineLevel="0" collapsed="false">
      <c r="A43" s="10" t="s">
        <v>354</v>
      </c>
      <c r="C43" s="12" t="n">
        <f aca="false">SUM(C37:C42)</f>
        <v>14308.0666666667</v>
      </c>
      <c r="D43" s="12" t="n">
        <f aca="false">SUM(D37:D42)</f>
        <v>16611.044893986</v>
      </c>
      <c r="E43" s="12" t="n">
        <f aca="false">SUM(E37:E42)</f>
        <v>7616.45241971429</v>
      </c>
      <c r="F43" s="12" t="n">
        <f aca="false">SUM(F37:F42)</f>
        <v>38535.563980367</v>
      </c>
      <c r="G43" s="49" t="n">
        <f aca="false">SQRT(SUMPRODUCT((F37:F42*G37:G42)^2))/F43</f>
        <v>0.205626970564101</v>
      </c>
    </row>
    <row r="44" customFormat="false" ht="15" hidden="false" customHeight="false" outlineLevel="0" collapsed="false">
      <c r="A44" s="2" t="s">
        <v>355</v>
      </c>
    </row>
  </sheetData>
  <mergeCells count="1">
    <mergeCell ref="H14: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1" min="2" style="0" width="11"/>
  </cols>
  <sheetData>
    <row r="1" customFormat="false" ht="16.15" hidden="false" customHeight="false" outlineLevel="0" collapsed="false">
      <c r="A1" s="1" t="s">
        <v>356</v>
      </c>
    </row>
    <row r="2" customFormat="false" ht="15" hidden="false" customHeight="false" outlineLevel="0" collapsed="false">
      <c r="A2" s="2" t="s">
        <v>357</v>
      </c>
    </row>
    <row r="4" customFormat="false" ht="30" hidden="false" customHeight="true" outlineLevel="0" collapsed="false">
      <c r="A4" s="3" t="s">
        <v>135</v>
      </c>
      <c r="B4" s="3" t="s">
        <v>358</v>
      </c>
      <c r="C4" s="3" t="s">
        <v>359</v>
      </c>
      <c r="D4" s="3" t="s">
        <v>360</v>
      </c>
      <c r="E4" s="3" t="s">
        <v>361</v>
      </c>
      <c r="F4" s="3" t="s">
        <v>362</v>
      </c>
      <c r="G4" s="3" t="s">
        <v>363</v>
      </c>
      <c r="H4" s="3" t="s">
        <v>136</v>
      </c>
    </row>
    <row r="5" customFormat="false" ht="15" hidden="false" customHeight="false" outlineLevel="0" collapsed="false">
      <c r="A5" s="4" t="s">
        <v>364</v>
      </c>
      <c r="B5" s="39" t="n">
        <v>0.3666</v>
      </c>
      <c r="C5" s="39" t="n">
        <v>0.147</v>
      </c>
      <c r="D5" s="39" t="n">
        <v>0.1559</v>
      </c>
      <c r="E5" s="39" t="n">
        <v>0.0028</v>
      </c>
      <c r="F5" s="39" t="n">
        <v>0.0102</v>
      </c>
      <c r="G5" s="39" t="n">
        <v>0.0942</v>
      </c>
      <c r="H5" s="14" t="s">
        <v>365</v>
      </c>
    </row>
    <row r="6" customFormat="false" ht="15" hidden="false" customHeight="false" outlineLevel="0" collapsed="false">
      <c r="A6" s="4" t="s">
        <v>366</v>
      </c>
      <c r="B6" s="39" t="n">
        <v>0.15</v>
      </c>
      <c r="C6" s="39" t="n">
        <v>0.2</v>
      </c>
      <c r="D6" s="39" t="n">
        <v>0.4</v>
      </c>
      <c r="E6" s="39" t="n">
        <v>0.43</v>
      </c>
      <c r="F6" s="39" t="n">
        <v>0.24</v>
      </c>
      <c r="G6" s="39" t="n">
        <v>0.24</v>
      </c>
      <c r="H6" s="14" t="s">
        <v>367</v>
      </c>
    </row>
    <row r="7" customFormat="false" ht="15" hidden="false" customHeight="false" outlineLevel="0" collapsed="false">
      <c r="A7" s="4" t="s">
        <v>368</v>
      </c>
      <c r="B7" s="39" t="n">
        <v>0.06</v>
      </c>
      <c r="C7" s="39" t="n">
        <v>0.05</v>
      </c>
      <c r="D7" s="39" t="n">
        <v>0.04</v>
      </c>
      <c r="E7" s="39" t="n">
        <v>0.02</v>
      </c>
      <c r="F7" s="39" t="n">
        <v>0.04</v>
      </c>
      <c r="G7" s="39" t="n">
        <v>0.04</v>
      </c>
      <c r="H7" s="14" t="s">
        <v>369</v>
      </c>
    </row>
    <row r="9" customFormat="false" ht="15" hidden="false" customHeight="false" outlineLevel="0" collapsed="false">
      <c r="A9" s="4" t="s">
        <v>370</v>
      </c>
      <c r="B9" s="36" t="n">
        <v>0.5</v>
      </c>
      <c r="C9" s="14" t="s">
        <v>371</v>
      </c>
    </row>
    <row r="10" customFormat="false" ht="15" hidden="false" customHeight="false" outlineLevel="0" collapsed="false">
      <c r="A10" s="4" t="s">
        <v>372</v>
      </c>
      <c r="B10" s="36" t="n">
        <v>1</v>
      </c>
      <c r="C10" s="14" t="s">
        <v>373</v>
      </c>
    </row>
    <row r="11" customFormat="false" ht="15" hidden="false" customHeight="false" outlineLevel="0" collapsed="false">
      <c r="A11" s="4" t="s">
        <v>374</v>
      </c>
      <c r="B11" s="36" t="n">
        <v>0.5</v>
      </c>
      <c r="C11" s="14" t="s">
        <v>371</v>
      </c>
    </row>
    <row r="12" customFormat="false" ht="15" hidden="false" customHeight="false" outlineLevel="0" collapsed="false">
      <c r="A12" s="4" t="s">
        <v>375</v>
      </c>
      <c r="B12" s="18" t="n">
        <f aca="false">CRITERIOS!$B$12</f>
        <v>0.1</v>
      </c>
      <c r="C12" s="14" t="s">
        <v>376</v>
      </c>
    </row>
    <row r="13" customFormat="false" ht="15" hidden="false" customHeight="false" outlineLevel="0" collapsed="false">
      <c r="A13" s="4" t="s">
        <v>377</v>
      </c>
      <c r="B13" s="36" t="n">
        <v>0</v>
      </c>
      <c r="C13" s="14" t="s">
        <v>378</v>
      </c>
    </row>
    <row r="14" customFormat="false" ht="15" hidden="false" customHeight="false" outlineLevel="0" collapsed="false">
      <c r="A14" s="4" t="s">
        <v>379</v>
      </c>
      <c r="B14" s="50" t="n">
        <f aca="false">CRITERIOS!$B$15</f>
        <v>2001</v>
      </c>
      <c r="C14" s="14" t="s">
        <v>376</v>
      </c>
    </row>
    <row r="15" customFormat="false" ht="15" hidden="false" customHeight="false" outlineLevel="0" collapsed="false">
      <c r="A15" s="4" t="s">
        <v>380</v>
      </c>
      <c r="B15" s="36" t="n">
        <v>0.013</v>
      </c>
      <c r="C15" s="14" t="s">
        <v>381</v>
      </c>
    </row>
    <row r="16" customFormat="false" ht="15" hidden="false" customHeight="false" outlineLevel="0" collapsed="false">
      <c r="A16" s="4" t="s">
        <v>382</v>
      </c>
      <c r="B16" s="18" t="n">
        <f aca="false">SUPUESTOS_FE!$B$28</f>
        <v>0.81</v>
      </c>
      <c r="C16" s="14" t="s">
        <v>383</v>
      </c>
    </row>
    <row r="17" customFormat="false" ht="15" hidden="false" customHeight="false" outlineLevel="0" collapsed="false">
      <c r="A17" s="4" t="s">
        <v>384</v>
      </c>
      <c r="B17" s="18" t="n">
        <f aca="false">CRITERIOS!$B$11</f>
        <v>1</v>
      </c>
      <c r="C17" s="14" t="s">
        <v>376</v>
      </c>
    </row>
    <row r="18" customFormat="false" ht="15" hidden="false" customHeight="false" outlineLevel="0" collapsed="false">
      <c r="A18" s="4" t="s">
        <v>385</v>
      </c>
      <c r="B18" s="8" t="n">
        <f aca="false">SUM(B5:G5)</f>
        <v>0.7767</v>
      </c>
    </row>
    <row r="20" customFormat="false" ht="48" hidden="false" customHeight="true" outlineLevel="0" collapsed="false">
      <c r="A20" s="3" t="s">
        <v>386</v>
      </c>
      <c r="B20" s="3" t="s">
        <v>32</v>
      </c>
      <c r="C20" s="3" t="s">
        <v>387</v>
      </c>
      <c r="D20" s="3" t="s">
        <v>388</v>
      </c>
      <c r="E20" s="3" t="s">
        <v>389</v>
      </c>
      <c r="F20" s="3" t="s">
        <v>390</v>
      </c>
      <c r="G20" s="3" t="s">
        <v>391</v>
      </c>
      <c r="H20" s="3" t="s">
        <v>392</v>
      </c>
      <c r="I20" s="3" t="s">
        <v>393</v>
      </c>
      <c r="J20" s="3" t="s">
        <v>394</v>
      </c>
      <c r="K20" s="3" t="s">
        <v>395</v>
      </c>
      <c r="L20" s="3" t="s">
        <v>396</v>
      </c>
      <c r="M20" s="3" t="s">
        <v>397</v>
      </c>
      <c r="N20" s="3" t="s">
        <v>398</v>
      </c>
      <c r="O20" s="3" t="s">
        <v>399</v>
      </c>
      <c r="P20" s="3" t="s">
        <v>400</v>
      </c>
      <c r="Q20" s="3" t="s">
        <v>401</v>
      </c>
      <c r="R20" s="3" t="s">
        <v>402</v>
      </c>
      <c r="S20" s="3" t="s">
        <v>403</v>
      </c>
      <c r="T20" s="3" t="s">
        <v>404</v>
      </c>
      <c r="U20" s="3" t="s">
        <v>405</v>
      </c>
      <c r="V20" s="3" t="s">
        <v>406</v>
      </c>
      <c r="W20" s="3" t="s">
        <v>407</v>
      </c>
      <c r="X20" s="3" t="s">
        <v>408</v>
      </c>
      <c r="Y20" s="3" t="s">
        <v>409</v>
      </c>
      <c r="Z20" s="3" t="s">
        <v>410</v>
      </c>
      <c r="AA20" s="3" t="s">
        <v>411</v>
      </c>
      <c r="AB20" s="3" t="s">
        <v>412</v>
      </c>
      <c r="AC20" s="3" t="s">
        <v>413</v>
      </c>
      <c r="AD20" s="3" t="s">
        <v>414</v>
      </c>
      <c r="AE20" s="3" t="s">
        <v>415</v>
      </c>
      <c r="AF20" s="3" t="s">
        <v>416</v>
      </c>
      <c r="AG20" s="3" t="s">
        <v>417</v>
      </c>
      <c r="AH20" s="3" t="s">
        <v>418</v>
      </c>
      <c r="AI20" s="3" t="s">
        <v>419</v>
      </c>
      <c r="AJ20" s="3" t="s">
        <v>420</v>
      </c>
      <c r="AK20" s="3" t="s">
        <v>421</v>
      </c>
      <c r="AL20" s="3" t="s">
        <v>422</v>
      </c>
      <c r="AM20" s="3" t="s">
        <v>423</v>
      </c>
      <c r="AN20" s="3" t="s">
        <v>424</v>
      </c>
      <c r="AO20" s="3" t="s">
        <v>425</v>
      </c>
    </row>
    <row r="21" customFormat="false" ht="15" hidden="false" customHeight="false" outlineLevel="0" collapsed="false">
      <c r="A21" s="51" t="n">
        <v>1990</v>
      </c>
      <c r="B21" s="25" t="n">
        <f aca="false">SUPUESTOS_FE!$B$5*(1+$B$15)^(A21-2022)</f>
        <v>31515.4995055703</v>
      </c>
      <c r="C21" s="25" t="n">
        <f aca="false">IF(A21&gt;=$B$14,B21*$B$16*365/1000*$B$17,0)</f>
        <v>0</v>
      </c>
      <c r="D21" s="6" t="n">
        <f aca="false">C21*$B$5*$B$6*$B$9*$B$10</f>
        <v>0</v>
      </c>
      <c r="E21" s="6" t="n">
        <f aca="false">D21</f>
        <v>0</v>
      </c>
      <c r="F21" s="6" t="n">
        <v>0</v>
      </c>
      <c r="G21" s="6" t="n">
        <f aca="false">C21*$C$5*$C$6*$B$9*$B$10</f>
        <v>0</v>
      </c>
      <c r="H21" s="6" t="n">
        <f aca="false">G21</f>
        <v>0</v>
      </c>
      <c r="I21" s="6" t="n">
        <v>0</v>
      </c>
      <c r="J21" s="6" t="n">
        <f aca="false">C21*$D$5*$D$6*$B$9*$B$10</f>
        <v>0</v>
      </c>
      <c r="K21" s="6" t="n">
        <f aca="false">J21</f>
        <v>0</v>
      </c>
      <c r="L21" s="6" t="n">
        <v>0</v>
      </c>
      <c r="M21" s="6" t="n">
        <f aca="false">C21*$E$5*$E$6*$B$9*$B$10</f>
        <v>0</v>
      </c>
      <c r="N21" s="6" t="n">
        <f aca="false">M21</f>
        <v>0</v>
      </c>
      <c r="O21" s="6" t="n">
        <v>0</v>
      </c>
      <c r="P21" s="6" t="n">
        <f aca="false">C21*$F$5*$F$6*$B$9*$B$10</f>
        <v>0</v>
      </c>
      <c r="Q21" s="6" t="n">
        <f aca="false">P21</f>
        <v>0</v>
      </c>
      <c r="R21" s="6" t="n">
        <v>0</v>
      </c>
      <c r="S21" s="6" t="n">
        <f aca="false">C21*$G$5*$G$6*$B$9*$B$10</f>
        <v>0</v>
      </c>
      <c r="T21" s="6" t="n">
        <f aca="false">S21</f>
        <v>0</v>
      </c>
      <c r="U21" s="6" t="n">
        <v>0</v>
      </c>
      <c r="V21" s="6" t="n">
        <f aca="false">F21+I21+L21+O21+R21+U21</f>
        <v>0</v>
      </c>
      <c r="W21" s="6" t="n">
        <f aca="false">V21*$B$11*16/12</f>
        <v>0</v>
      </c>
      <c r="X21" s="6" t="n">
        <f aca="false">(W21-$B$13)*(1-$B$12)</f>
        <v>0</v>
      </c>
      <c r="Y21" s="6" t="n">
        <f aca="false">X21*SUPUESTOS_FE!$B$9</f>
        <v>0</v>
      </c>
      <c r="Z21" s="25" t="n">
        <f aca="false">IF(A21&gt;=CRITERIOS!$B$16,C21,0)</f>
        <v>0</v>
      </c>
      <c r="AA21" s="6" t="n">
        <f aca="false">Z21*$B$5*$B$6*$B$9*$B$10</f>
        <v>0</v>
      </c>
      <c r="AB21" s="6" t="n">
        <f aca="false">AA21</f>
        <v>0</v>
      </c>
      <c r="AC21" s="6" t="n">
        <f aca="false">Z21*$C$5*$C$6*$B$9*$B$10</f>
        <v>0</v>
      </c>
      <c r="AD21" s="6" t="n">
        <f aca="false">AC21</f>
        <v>0</v>
      </c>
      <c r="AE21" s="6" t="n">
        <f aca="false">Z21*$D$5*$D$6*$B$9*$B$10</f>
        <v>0</v>
      </c>
      <c r="AF21" s="6" t="n">
        <f aca="false">AE21</f>
        <v>0</v>
      </c>
      <c r="AG21" s="6" t="n">
        <f aca="false">Z21*$E$5*$E$6*$B$9*$B$10</f>
        <v>0</v>
      </c>
      <c r="AH21" s="6" t="n">
        <f aca="false">AG21</f>
        <v>0</v>
      </c>
      <c r="AI21" s="6" t="n">
        <f aca="false">Z21*$F$5*$F$6*$B$9*$B$10</f>
        <v>0</v>
      </c>
      <c r="AJ21" s="6" t="n">
        <f aca="false">AI21</f>
        <v>0</v>
      </c>
      <c r="AK21" s="6" t="n">
        <f aca="false">Z21*$G$5*$G$6*$B$9*$B$10</f>
        <v>0</v>
      </c>
      <c r="AL21" s="6" t="n">
        <f aca="false">AK21</f>
        <v>0</v>
      </c>
      <c r="AM21" s="6" t="n">
        <v>0</v>
      </c>
      <c r="AN21" s="6" t="n">
        <f aca="false">AM21*$B$11*16/12*(1-$B$12)*SUPUESTOS_FE!$B$9</f>
        <v>0</v>
      </c>
      <c r="AO21" s="6" t="n">
        <f aca="false">Y21-AN21</f>
        <v>0</v>
      </c>
    </row>
    <row r="22" customFormat="false" ht="15" hidden="false" customHeight="false" outlineLevel="0" collapsed="false">
      <c r="A22" s="51" t="n">
        <v>1991</v>
      </c>
      <c r="B22" s="25" t="n">
        <f aca="false">SUPUESTOS_FE!$B$5*(1+$B$15)^(A22-2022)</f>
        <v>31925.2009991427</v>
      </c>
      <c r="C22" s="25" t="n">
        <f aca="false">IF(A22&gt;=$B$14,B22*$B$16*365/1000*$B$17,0)</f>
        <v>0</v>
      </c>
      <c r="D22" s="6" t="n">
        <f aca="false">C22*$B$5*$B$6*$B$9*$B$10</f>
        <v>0</v>
      </c>
      <c r="E22" s="6" t="n">
        <f aca="false">D22+E21*EXP(-$B$7)</f>
        <v>0</v>
      </c>
      <c r="F22" s="6" t="n">
        <f aca="false">E21*(1-EXP(-$B$7))</f>
        <v>0</v>
      </c>
      <c r="G22" s="6" t="n">
        <f aca="false">C22*$C$5*$C$6*$B$9*$B$10</f>
        <v>0</v>
      </c>
      <c r="H22" s="6" t="n">
        <f aca="false">G22+H21*EXP(-$C$7)</f>
        <v>0</v>
      </c>
      <c r="I22" s="6" t="n">
        <f aca="false">H21*(1-EXP(-$C$7))</f>
        <v>0</v>
      </c>
      <c r="J22" s="6" t="n">
        <f aca="false">C22*$D$5*$D$6*$B$9*$B$10</f>
        <v>0</v>
      </c>
      <c r="K22" s="6" t="n">
        <f aca="false">J22+K21*EXP(-$D$7)</f>
        <v>0</v>
      </c>
      <c r="L22" s="6" t="n">
        <f aca="false">K21*(1-EXP(-$D$7))</f>
        <v>0</v>
      </c>
      <c r="M22" s="6" t="n">
        <f aca="false">C22*$E$5*$E$6*$B$9*$B$10</f>
        <v>0</v>
      </c>
      <c r="N22" s="6" t="n">
        <f aca="false">M22+N21*EXP(-$E$7)</f>
        <v>0</v>
      </c>
      <c r="O22" s="6" t="n">
        <f aca="false">N21*(1-EXP(-$E$7))</f>
        <v>0</v>
      </c>
      <c r="P22" s="6" t="n">
        <f aca="false">C22*$F$5*$F$6*$B$9*$B$10</f>
        <v>0</v>
      </c>
      <c r="Q22" s="6" t="n">
        <f aca="false">P22+Q21*EXP(-$F$7)</f>
        <v>0</v>
      </c>
      <c r="R22" s="6" t="n">
        <f aca="false">Q21*(1-EXP(-$F$7))</f>
        <v>0</v>
      </c>
      <c r="S22" s="6" t="n">
        <f aca="false">C22*$G$5*$G$6*$B$9*$B$10</f>
        <v>0</v>
      </c>
      <c r="T22" s="6" t="n">
        <f aca="false">S22+T21*EXP(-$G$7)</f>
        <v>0</v>
      </c>
      <c r="U22" s="6" t="n">
        <f aca="false">T21*(1-EXP(-$G$7))</f>
        <v>0</v>
      </c>
      <c r="V22" s="6" t="n">
        <f aca="false">F22+I22+L22+O22+R22+U22</f>
        <v>0</v>
      </c>
      <c r="W22" s="6" t="n">
        <f aca="false">V22*$B$11*16/12</f>
        <v>0</v>
      </c>
      <c r="X22" s="6" t="n">
        <f aca="false">(W22-$B$13)*(1-$B$12)</f>
        <v>0</v>
      </c>
      <c r="Y22" s="6" t="n">
        <f aca="false">X22*SUPUESTOS_FE!$B$9</f>
        <v>0</v>
      </c>
      <c r="Z22" s="25" t="n">
        <f aca="false">IF(A22&gt;=CRITERIOS!$B$16,C22,0)</f>
        <v>0</v>
      </c>
      <c r="AA22" s="6" t="n">
        <f aca="false">Z22*$B$5*$B$6*$B$9*$B$10</f>
        <v>0</v>
      </c>
      <c r="AB22" s="6" t="n">
        <f aca="false">AA22+AB21*EXP(-$B$7)</f>
        <v>0</v>
      </c>
      <c r="AC22" s="6" t="n">
        <f aca="false">Z22*$C$5*$C$6*$B$9*$B$10</f>
        <v>0</v>
      </c>
      <c r="AD22" s="6" t="n">
        <f aca="false">AC22+AD21*EXP(-$C$7)</f>
        <v>0</v>
      </c>
      <c r="AE22" s="6" t="n">
        <f aca="false">Z22*$D$5*$D$6*$B$9*$B$10</f>
        <v>0</v>
      </c>
      <c r="AF22" s="6" t="n">
        <f aca="false">AE22+AF21*EXP(-$D$7)</f>
        <v>0</v>
      </c>
      <c r="AG22" s="6" t="n">
        <f aca="false">Z22*$E$5*$E$6*$B$9*$B$10</f>
        <v>0</v>
      </c>
      <c r="AH22" s="6" t="n">
        <f aca="false">AG22+AH21*EXP(-$E$7)</f>
        <v>0</v>
      </c>
      <c r="AI22" s="6" t="n">
        <f aca="false">Z22*$F$5*$F$6*$B$9*$B$10</f>
        <v>0</v>
      </c>
      <c r="AJ22" s="6" t="n">
        <f aca="false">AI22+AJ21*EXP(-$F$7)</f>
        <v>0</v>
      </c>
      <c r="AK22" s="6" t="n">
        <f aca="false">Z22*$G$5*$G$6*$B$9*$B$10</f>
        <v>0</v>
      </c>
      <c r="AL22" s="6" t="n">
        <f aca="false">AK22+AL21*EXP(-$G$7)</f>
        <v>0</v>
      </c>
      <c r="AM22" s="6" t="n">
        <f aca="false">AB21*(1-EXP(-$B$7))+AD21*(1-EXP(-$C$7))+AF21*(1-EXP(-$D$7))+AH21*(1-EXP(-$E$7))+AJ21*(1-EXP(-$F$7))+AL21*(1-EXP(-$G$7))</f>
        <v>0</v>
      </c>
      <c r="AN22" s="6" t="n">
        <f aca="false">AM22*$B$11*16/12*(1-$B$12)*SUPUESTOS_FE!$B$9</f>
        <v>0</v>
      </c>
      <c r="AO22" s="6" t="n">
        <f aca="false">Y22-AN22</f>
        <v>0</v>
      </c>
    </row>
    <row r="23" customFormat="false" ht="15" hidden="false" customHeight="false" outlineLevel="0" collapsed="false">
      <c r="A23" s="51" t="n">
        <v>1992</v>
      </c>
      <c r="B23" s="25" t="n">
        <f aca="false">SUPUESTOS_FE!$B$5*(1+$B$15)^(A23-2022)</f>
        <v>32340.2286121316</v>
      </c>
      <c r="C23" s="25" t="n">
        <f aca="false">IF(A23&gt;=$B$14,B23*$B$16*365/1000*$B$17,0)</f>
        <v>0</v>
      </c>
      <c r="D23" s="6" t="n">
        <f aca="false">C23*$B$5*$B$6*$B$9*$B$10</f>
        <v>0</v>
      </c>
      <c r="E23" s="6" t="n">
        <f aca="false">D23+E22*EXP(-$B$7)</f>
        <v>0</v>
      </c>
      <c r="F23" s="6" t="n">
        <f aca="false">E22*(1-EXP(-$B$7))</f>
        <v>0</v>
      </c>
      <c r="G23" s="6" t="n">
        <f aca="false">C23*$C$5*$C$6*$B$9*$B$10</f>
        <v>0</v>
      </c>
      <c r="H23" s="6" t="n">
        <f aca="false">G23+H22*EXP(-$C$7)</f>
        <v>0</v>
      </c>
      <c r="I23" s="6" t="n">
        <f aca="false">H22*(1-EXP(-$C$7))</f>
        <v>0</v>
      </c>
      <c r="J23" s="6" t="n">
        <f aca="false">C23*$D$5*$D$6*$B$9*$B$10</f>
        <v>0</v>
      </c>
      <c r="K23" s="6" t="n">
        <f aca="false">J23+K22*EXP(-$D$7)</f>
        <v>0</v>
      </c>
      <c r="L23" s="6" t="n">
        <f aca="false">K22*(1-EXP(-$D$7))</f>
        <v>0</v>
      </c>
      <c r="M23" s="6" t="n">
        <f aca="false">C23*$E$5*$E$6*$B$9*$B$10</f>
        <v>0</v>
      </c>
      <c r="N23" s="6" t="n">
        <f aca="false">M23+N22*EXP(-$E$7)</f>
        <v>0</v>
      </c>
      <c r="O23" s="6" t="n">
        <f aca="false">N22*(1-EXP(-$E$7))</f>
        <v>0</v>
      </c>
      <c r="P23" s="6" t="n">
        <f aca="false">C23*$F$5*$F$6*$B$9*$B$10</f>
        <v>0</v>
      </c>
      <c r="Q23" s="6" t="n">
        <f aca="false">P23+Q22*EXP(-$F$7)</f>
        <v>0</v>
      </c>
      <c r="R23" s="6" t="n">
        <f aca="false">Q22*(1-EXP(-$F$7))</f>
        <v>0</v>
      </c>
      <c r="S23" s="6" t="n">
        <f aca="false">C23*$G$5*$G$6*$B$9*$B$10</f>
        <v>0</v>
      </c>
      <c r="T23" s="6" t="n">
        <f aca="false">S23+T22*EXP(-$G$7)</f>
        <v>0</v>
      </c>
      <c r="U23" s="6" t="n">
        <f aca="false">T22*(1-EXP(-$G$7))</f>
        <v>0</v>
      </c>
      <c r="V23" s="6" t="n">
        <f aca="false">F23+I23+L23+O23+R23+U23</f>
        <v>0</v>
      </c>
      <c r="W23" s="6" t="n">
        <f aca="false">V23*$B$11*16/12</f>
        <v>0</v>
      </c>
      <c r="X23" s="6" t="n">
        <f aca="false">(W23-$B$13)*(1-$B$12)</f>
        <v>0</v>
      </c>
      <c r="Y23" s="6" t="n">
        <f aca="false">X23*SUPUESTOS_FE!$B$9</f>
        <v>0</v>
      </c>
      <c r="Z23" s="25" t="n">
        <f aca="false">IF(A23&gt;=CRITERIOS!$B$16,C23,0)</f>
        <v>0</v>
      </c>
      <c r="AA23" s="6" t="n">
        <f aca="false">Z23*$B$5*$B$6*$B$9*$B$10</f>
        <v>0</v>
      </c>
      <c r="AB23" s="6" t="n">
        <f aca="false">AA23+AB22*EXP(-$B$7)</f>
        <v>0</v>
      </c>
      <c r="AC23" s="6" t="n">
        <f aca="false">Z23*$C$5*$C$6*$B$9*$B$10</f>
        <v>0</v>
      </c>
      <c r="AD23" s="6" t="n">
        <f aca="false">AC23+AD22*EXP(-$C$7)</f>
        <v>0</v>
      </c>
      <c r="AE23" s="6" t="n">
        <f aca="false">Z23*$D$5*$D$6*$B$9*$B$10</f>
        <v>0</v>
      </c>
      <c r="AF23" s="6" t="n">
        <f aca="false">AE23+AF22*EXP(-$D$7)</f>
        <v>0</v>
      </c>
      <c r="AG23" s="6" t="n">
        <f aca="false">Z23*$E$5*$E$6*$B$9*$B$10</f>
        <v>0</v>
      </c>
      <c r="AH23" s="6" t="n">
        <f aca="false">AG23+AH22*EXP(-$E$7)</f>
        <v>0</v>
      </c>
      <c r="AI23" s="6" t="n">
        <f aca="false">Z23*$F$5*$F$6*$B$9*$B$10</f>
        <v>0</v>
      </c>
      <c r="AJ23" s="6" t="n">
        <f aca="false">AI23+AJ22*EXP(-$F$7)</f>
        <v>0</v>
      </c>
      <c r="AK23" s="6" t="n">
        <f aca="false">Z23*$G$5*$G$6*$B$9*$B$10</f>
        <v>0</v>
      </c>
      <c r="AL23" s="6" t="n">
        <f aca="false">AK23+AL22*EXP(-$G$7)</f>
        <v>0</v>
      </c>
      <c r="AM23" s="6" t="n">
        <f aca="false">AB22*(1-EXP(-$B$7))+AD22*(1-EXP(-$C$7))+AF22*(1-EXP(-$D$7))+AH22*(1-EXP(-$E$7))+AJ22*(1-EXP(-$F$7))+AL22*(1-EXP(-$G$7))</f>
        <v>0</v>
      </c>
      <c r="AN23" s="6" t="n">
        <f aca="false">AM23*$B$11*16/12*(1-$B$12)*SUPUESTOS_FE!$B$9</f>
        <v>0</v>
      </c>
      <c r="AO23" s="6" t="n">
        <f aca="false">Y23-AN23</f>
        <v>0</v>
      </c>
    </row>
    <row r="24" customFormat="false" ht="15" hidden="false" customHeight="false" outlineLevel="0" collapsed="false">
      <c r="A24" s="51" t="n">
        <v>1993</v>
      </c>
      <c r="B24" s="25" t="n">
        <f aca="false">SUPUESTOS_FE!$B$5*(1+$B$15)^(A24-2022)</f>
        <v>32760.6515840893</v>
      </c>
      <c r="C24" s="25" t="n">
        <f aca="false">IF(A24&gt;=$B$14,B24*$B$16*365/1000*$B$17,0)</f>
        <v>0</v>
      </c>
      <c r="D24" s="6" t="n">
        <f aca="false">C24*$B$5*$B$6*$B$9*$B$10</f>
        <v>0</v>
      </c>
      <c r="E24" s="6" t="n">
        <f aca="false">D24+E23*EXP(-$B$7)</f>
        <v>0</v>
      </c>
      <c r="F24" s="6" t="n">
        <f aca="false">E23*(1-EXP(-$B$7))</f>
        <v>0</v>
      </c>
      <c r="G24" s="6" t="n">
        <f aca="false">C24*$C$5*$C$6*$B$9*$B$10</f>
        <v>0</v>
      </c>
      <c r="H24" s="6" t="n">
        <f aca="false">G24+H23*EXP(-$C$7)</f>
        <v>0</v>
      </c>
      <c r="I24" s="6" t="n">
        <f aca="false">H23*(1-EXP(-$C$7))</f>
        <v>0</v>
      </c>
      <c r="J24" s="6" t="n">
        <f aca="false">C24*$D$5*$D$6*$B$9*$B$10</f>
        <v>0</v>
      </c>
      <c r="K24" s="6" t="n">
        <f aca="false">J24+K23*EXP(-$D$7)</f>
        <v>0</v>
      </c>
      <c r="L24" s="6" t="n">
        <f aca="false">K23*(1-EXP(-$D$7))</f>
        <v>0</v>
      </c>
      <c r="M24" s="6" t="n">
        <f aca="false">C24*$E$5*$E$6*$B$9*$B$10</f>
        <v>0</v>
      </c>
      <c r="N24" s="6" t="n">
        <f aca="false">M24+N23*EXP(-$E$7)</f>
        <v>0</v>
      </c>
      <c r="O24" s="6" t="n">
        <f aca="false">N23*(1-EXP(-$E$7))</f>
        <v>0</v>
      </c>
      <c r="P24" s="6" t="n">
        <f aca="false">C24*$F$5*$F$6*$B$9*$B$10</f>
        <v>0</v>
      </c>
      <c r="Q24" s="6" t="n">
        <f aca="false">P24+Q23*EXP(-$F$7)</f>
        <v>0</v>
      </c>
      <c r="R24" s="6" t="n">
        <f aca="false">Q23*(1-EXP(-$F$7))</f>
        <v>0</v>
      </c>
      <c r="S24" s="6" t="n">
        <f aca="false">C24*$G$5*$G$6*$B$9*$B$10</f>
        <v>0</v>
      </c>
      <c r="T24" s="6" t="n">
        <f aca="false">S24+T23*EXP(-$G$7)</f>
        <v>0</v>
      </c>
      <c r="U24" s="6" t="n">
        <f aca="false">T23*(1-EXP(-$G$7))</f>
        <v>0</v>
      </c>
      <c r="V24" s="6" t="n">
        <f aca="false">F24+I24+L24+O24+R24+U24</f>
        <v>0</v>
      </c>
      <c r="W24" s="6" t="n">
        <f aca="false">V24*$B$11*16/12</f>
        <v>0</v>
      </c>
      <c r="X24" s="6" t="n">
        <f aca="false">(W24-$B$13)*(1-$B$12)</f>
        <v>0</v>
      </c>
      <c r="Y24" s="6" t="n">
        <f aca="false">X24*SUPUESTOS_FE!$B$9</f>
        <v>0</v>
      </c>
      <c r="Z24" s="25" t="n">
        <f aca="false">IF(A24&gt;=CRITERIOS!$B$16,C24,0)</f>
        <v>0</v>
      </c>
      <c r="AA24" s="6" t="n">
        <f aca="false">Z24*$B$5*$B$6*$B$9*$B$10</f>
        <v>0</v>
      </c>
      <c r="AB24" s="6" t="n">
        <f aca="false">AA24+AB23*EXP(-$B$7)</f>
        <v>0</v>
      </c>
      <c r="AC24" s="6" t="n">
        <f aca="false">Z24*$C$5*$C$6*$B$9*$B$10</f>
        <v>0</v>
      </c>
      <c r="AD24" s="6" t="n">
        <f aca="false">AC24+AD23*EXP(-$C$7)</f>
        <v>0</v>
      </c>
      <c r="AE24" s="6" t="n">
        <f aca="false">Z24*$D$5*$D$6*$B$9*$B$10</f>
        <v>0</v>
      </c>
      <c r="AF24" s="6" t="n">
        <f aca="false">AE24+AF23*EXP(-$D$7)</f>
        <v>0</v>
      </c>
      <c r="AG24" s="6" t="n">
        <f aca="false">Z24*$E$5*$E$6*$B$9*$B$10</f>
        <v>0</v>
      </c>
      <c r="AH24" s="6" t="n">
        <f aca="false">AG24+AH23*EXP(-$E$7)</f>
        <v>0</v>
      </c>
      <c r="AI24" s="6" t="n">
        <f aca="false">Z24*$F$5*$F$6*$B$9*$B$10</f>
        <v>0</v>
      </c>
      <c r="AJ24" s="6" t="n">
        <f aca="false">AI24+AJ23*EXP(-$F$7)</f>
        <v>0</v>
      </c>
      <c r="AK24" s="6" t="n">
        <f aca="false">Z24*$G$5*$G$6*$B$9*$B$10</f>
        <v>0</v>
      </c>
      <c r="AL24" s="6" t="n">
        <f aca="false">AK24+AL23*EXP(-$G$7)</f>
        <v>0</v>
      </c>
      <c r="AM24" s="6" t="n">
        <f aca="false">AB23*(1-EXP(-$B$7))+AD23*(1-EXP(-$C$7))+AF23*(1-EXP(-$D$7))+AH23*(1-EXP(-$E$7))+AJ23*(1-EXP(-$F$7))+AL23*(1-EXP(-$G$7))</f>
        <v>0</v>
      </c>
      <c r="AN24" s="6" t="n">
        <f aca="false">AM24*$B$11*16/12*(1-$B$12)*SUPUESTOS_FE!$B$9</f>
        <v>0</v>
      </c>
      <c r="AO24" s="6" t="n">
        <f aca="false">Y24-AN24</f>
        <v>0</v>
      </c>
    </row>
    <row r="25" customFormat="false" ht="15" hidden="false" customHeight="false" outlineLevel="0" collapsed="false">
      <c r="A25" s="51" t="n">
        <v>1994</v>
      </c>
      <c r="B25" s="25" t="n">
        <f aca="false">SUPUESTOS_FE!$B$5*(1+$B$15)^(A25-2022)</f>
        <v>33186.5400546825</v>
      </c>
      <c r="C25" s="25" t="n">
        <f aca="false">IF(A25&gt;=$B$14,B25*$B$16*365/1000*$B$17,0)</f>
        <v>0</v>
      </c>
      <c r="D25" s="6" t="n">
        <f aca="false">C25*$B$5*$B$6*$B$9*$B$10</f>
        <v>0</v>
      </c>
      <c r="E25" s="6" t="n">
        <f aca="false">D25+E24*EXP(-$B$7)</f>
        <v>0</v>
      </c>
      <c r="F25" s="6" t="n">
        <f aca="false">E24*(1-EXP(-$B$7))</f>
        <v>0</v>
      </c>
      <c r="G25" s="6" t="n">
        <f aca="false">C25*$C$5*$C$6*$B$9*$B$10</f>
        <v>0</v>
      </c>
      <c r="H25" s="6" t="n">
        <f aca="false">G25+H24*EXP(-$C$7)</f>
        <v>0</v>
      </c>
      <c r="I25" s="6" t="n">
        <f aca="false">H24*(1-EXP(-$C$7))</f>
        <v>0</v>
      </c>
      <c r="J25" s="6" t="n">
        <f aca="false">C25*$D$5*$D$6*$B$9*$B$10</f>
        <v>0</v>
      </c>
      <c r="K25" s="6" t="n">
        <f aca="false">J25+K24*EXP(-$D$7)</f>
        <v>0</v>
      </c>
      <c r="L25" s="6" t="n">
        <f aca="false">K24*(1-EXP(-$D$7))</f>
        <v>0</v>
      </c>
      <c r="M25" s="6" t="n">
        <f aca="false">C25*$E$5*$E$6*$B$9*$B$10</f>
        <v>0</v>
      </c>
      <c r="N25" s="6" t="n">
        <f aca="false">M25+N24*EXP(-$E$7)</f>
        <v>0</v>
      </c>
      <c r="O25" s="6" t="n">
        <f aca="false">N24*(1-EXP(-$E$7))</f>
        <v>0</v>
      </c>
      <c r="P25" s="6" t="n">
        <f aca="false">C25*$F$5*$F$6*$B$9*$B$10</f>
        <v>0</v>
      </c>
      <c r="Q25" s="6" t="n">
        <f aca="false">P25+Q24*EXP(-$F$7)</f>
        <v>0</v>
      </c>
      <c r="R25" s="6" t="n">
        <f aca="false">Q24*(1-EXP(-$F$7))</f>
        <v>0</v>
      </c>
      <c r="S25" s="6" t="n">
        <f aca="false">C25*$G$5*$G$6*$B$9*$B$10</f>
        <v>0</v>
      </c>
      <c r="T25" s="6" t="n">
        <f aca="false">S25+T24*EXP(-$G$7)</f>
        <v>0</v>
      </c>
      <c r="U25" s="6" t="n">
        <f aca="false">T24*(1-EXP(-$G$7))</f>
        <v>0</v>
      </c>
      <c r="V25" s="6" t="n">
        <f aca="false">F25+I25+L25+O25+R25+U25</f>
        <v>0</v>
      </c>
      <c r="W25" s="6" t="n">
        <f aca="false">V25*$B$11*16/12</f>
        <v>0</v>
      </c>
      <c r="X25" s="6" t="n">
        <f aca="false">(W25-$B$13)*(1-$B$12)</f>
        <v>0</v>
      </c>
      <c r="Y25" s="6" t="n">
        <f aca="false">X25*SUPUESTOS_FE!$B$9</f>
        <v>0</v>
      </c>
      <c r="Z25" s="25" t="n">
        <f aca="false">IF(A25&gt;=CRITERIOS!$B$16,C25,0)</f>
        <v>0</v>
      </c>
      <c r="AA25" s="6" t="n">
        <f aca="false">Z25*$B$5*$B$6*$B$9*$B$10</f>
        <v>0</v>
      </c>
      <c r="AB25" s="6" t="n">
        <f aca="false">AA25+AB24*EXP(-$B$7)</f>
        <v>0</v>
      </c>
      <c r="AC25" s="6" t="n">
        <f aca="false">Z25*$C$5*$C$6*$B$9*$B$10</f>
        <v>0</v>
      </c>
      <c r="AD25" s="6" t="n">
        <f aca="false">AC25+AD24*EXP(-$C$7)</f>
        <v>0</v>
      </c>
      <c r="AE25" s="6" t="n">
        <f aca="false">Z25*$D$5*$D$6*$B$9*$B$10</f>
        <v>0</v>
      </c>
      <c r="AF25" s="6" t="n">
        <f aca="false">AE25+AF24*EXP(-$D$7)</f>
        <v>0</v>
      </c>
      <c r="AG25" s="6" t="n">
        <f aca="false">Z25*$E$5*$E$6*$B$9*$B$10</f>
        <v>0</v>
      </c>
      <c r="AH25" s="6" t="n">
        <f aca="false">AG25+AH24*EXP(-$E$7)</f>
        <v>0</v>
      </c>
      <c r="AI25" s="6" t="n">
        <f aca="false">Z25*$F$5*$F$6*$B$9*$B$10</f>
        <v>0</v>
      </c>
      <c r="AJ25" s="6" t="n">
        <f aca="false">AI25+AJ24*EXP(-$F$7)</f>
        <v>0</v>
      </c>
      <c r="AK25" s="6" t="n">
        <f aca="false">Z25*$G$5*$G$6*$B$9*$B$10</f>
        <v>0</v>
      </c>
      <c r="AL25" s="6" t="n">
        <f aca="false">AK25+AL24*EXP(-$G$7)</f>
        <v>0</v>
      </c>
      <c r="AM25" s="6" t="n">
        <f aca="false">AB24*(1-EXP(-$B$7))+AD24*(1-EXP(-$C$7))+AF24*(1-EXP(-$D$7))+AH24*(1-EXP(-$E$7))+AJ24*(1-EXP(-$F$7))+AL24*(1-EXP(-$G$7))</f>
        <v>0</v>
      </c>
      <c r="AN25" s="6" t="n">
        <f aca="false">AM25*$B$11*16/12*(1-$B$12)*SUPUESTOS_FE!$B$9</f>
        <v>0</v>
      </c>
      <c r="AO25" s="6" t="n">
        <f aca="false">Y25-AN25</f>
        <v>0</v>
      </c>
    </row>
    <row r="26" customFormat="false" ht="15" hidden="false" customHeight="false" outlineLevel="0" collapsed="false">
      <c r="A26" s="51" t="n">
        <v>1995</v>
      </c>
      <c r="B26" s="25" t="n">
        <f aca="false">SUPUESTOS_FE!$B$5*(1+$B$15)^(A26-2022)</f>
        <v>33617.9650753933</v>
      </c>
      <c r="C26" s="25" t="n">
        <f aca="false">IF(A26&gt;=$B$14,B26*$B$16*365/1000*$B$17,0)</f>
        <v>0</v>
      </c>
      <c r="D26" s="6" t="n">
        <f aca="false">C26*$B$5*$B$6*$B$9*$B$10</f>
        <v>0</v>
      </c>
      <c r="E26" s="6" t="n">
        <f aca="false">D26+E25*EXP(-$B$7)</f>
        <v>0</v>
      </c>
      <c r="F26" s="6" t="n">
        <f aca="false">E25*(1-EXP(-$B$7))</f>
        <v>0</v>
      </c>
      <c r="G26" s="6" t="n">
        <f aca="false">C26*$C$5*$C$6*$B$9*$B$10</f>
        <v>0</v>
      </c>
      <c r="H26" s="6" t="n">
        <f aca="false">G26+H25*EXP(-$C$7)</f>
        <v>0</v>
      </c>
      <c r="I26" s="6" t="n">
        <f aca="false">H25*(1-EXP(-$C$7))</f>
        <v>0</v>
      </c>
      <c r="J26" s="6" t="n">
        <f aca="false">C26*$D$5*$D$6*$B$9*$B$10</f>
        <v>0</v>
      </c>
      <c r="K26" s="6" t="n">
        <f aca="false">J26+K25*EXP(-$D$7)</f>
        <v>0</v>
      </c>
      <c r="L26" s="6" t="n">
        <f aca="false">K25*(1-EXP(-$D$7))</f>
        <v>0</v>
      </c>
      <c r="M26" s="6" t="n">
        <f aca="false">C26*$E$5*$E$6*$B$9*$B$10</f>
        <v>0</v>
      </c>
      <c r="N26" s="6" t="n">
        <f aca="false">M26+N25*EXP(-$E$7)</f>
        <v>0</v>
      </c>
      <c r="O26" s="6" t="n">
        <f aca="false">N25*(1-EXP(-$E$7))</f>
        <v>0</v>
      </c>
      <c r="P26" s="6" t="n">
        <f aca="false">C26*$F$5*$F$6*$B$9*$B$10</f>
        <v>0</v>
      </c>
      <c r="Q26" s="6" t="n">
        <f aca="false">P26+Q25*EXP(-$F$7)</f>
        <v>0</v>
      </c>
      <c r="R26" s="6" t="n">
        <f aca="false">Q25*(1-EXP(-$F$7))</f>
        <v>0</v>
      </c>
      <c r="S26" s="6" t="n">
        <f aca="false">C26*$G$5*$G$6*$B$9*$B$10</f>
        <v>0</v>
      </c>
      <c r="T26" s="6" t="n">
        <f aca="false">S26+T25*EXP(-$G$7)</f>
        <v>0</v>
      </c>
      <c r="U26" s="6" t="n">
        <f aca="false">T25*(1-EXP(-$G$7))</f>
        <v>0</v>
      </c>
      <c r="V26" s="6" t="n">
        <f aca="false">F26+I26+L26+O26+R26+U26</f>
        <v>0</v>
      </c>
      <c r="W26" s="6" t="n">
        <f aca="false">V26*$B$11*16/12</f>
        <v>0</v>
      </c>
      <c r="X26" s="6" t="n">
        <f aca="false">(W26-$B$13)*(1-$B$12)</f>
        <v>0</v>
      </c>
      <c r="Y26" s="6" t="n">
        <f aca="false">X26*SUPUESTOS_FE!$B$9</f>
        <v>0</v>
      </c>
      <c r="Z26" s="25" t="n">
        <f aca="false">IF(A26&gt;=CRITERIOS!$B$16,C26,0)</f>
        <v>0</v>
      </c>
      <c r="AA26" s="6" t="n">
        <f aca="false">Z26*$B$5*$B$6*$B$9*$B$10</f>
        <v>0</v>
      </c>
      <c r="AB26" s="6" t="n">
        <f aca="false">AA26+AB25*EXP(-$B$7)</f>
        <v>0</v>
      </c>
      <c r="AC26" s="6" t="n">
        <f aca="false">Z26*$C$5*$C$6*$B$9*$B$10</f>
        <v>0</v>
      </c>
      <c r="AD26" s="6" t="n">
        <f aca="false">AC26+AD25*EXP(-$C$7)</f>
        <v>0</v>
      </c>
      <c r="AE26" s="6" t="n">
        <f aca="false">Z26*$D$5*$D$6*$B$9*$B$10</f>
        <v>0</v>
      </c>
      <c r="AF26" s="6" t="n">
        <f aca="false">AE26+AF25*EXP(-$D$7)</f>
        <v>0</v>
      </c>
      <c r="AG26" s="6" t="n">
        <f aca="false">Z26*$E$5*$E$6*$B$9*$B$10</f>
        <v>0</v>
      </c>
      <c r="AH26" s="6" t="n">
        <f aca="false">AG26+AH25*EXP(-$E$7)</f>
        <v>0</v>
      </c>
      <c r="AI26" s="6" t="n">
        <f aca="false">Z26*$F$5*$F$6*$B$9*$B$10</f>
        <v>0</v>
      </c>
      <c r="AJ26" s="6" t="n">
        <f aca="false">AI26+AJ25*EXP(-$F$7)</f>
        <v>0</v>
      </c>
      <c r="AK26" s="6" t="n">
        <f aca="false">Z26*$G$5*$G$6*$B$9*$B$10</f>
        <v>0</v>
      </c>
      <c r="AL26" s="6" t="n">
        <f aca="false">AK26+AL25*EXP(-$G$7)</f>
        <v>0</v>
      </c>
      <c r="AM26" s="6" t="n">
        <f aca="false">AB25*(1-EXP(-$B$7))+AD25*(1-EXP(-$C$7))+AF25*(1-EXP(-$D$7))+AH25*(1-EXP(-$E$7))+AJ25*(1-EXP(-$F$7))+AL25*(1-EXP(-$G$7))</f>
        <v>0</v>
      </c>
      <c r="AN26" s="6" t="n">
        <f aca="false">AM26*$B$11*16/12*(1-$B$12)*SUPUESTOS_FE!$B$9</f>
        <v>0</v>
      </c>
      <c r="AO26" s="6" t="n">
        <f aca="false">Y26-AN26</f>
        <v>0</v>
      </c>
    </row>
    <row r="27" customFormat="false" ht="15" hidden="false" customHeight="false" outlineLevel="0" collapsed="false">
      <c r="A27" s="51" t="n">
        <v>1996</v>
      </c>
      <c r="B27" s="25" t="n">
        <f aca="false">SUPUESTOS_FE!$B$5*(1+$B$15)^(A27-2022)</f>
        <v>34054.9986213734</v>
      </c>
      <c r="C27" s="25" t="n">
        <f aca="false">IF(A27&gt;=$B$14,B27*$B$16*365/1000*$B$17,0)</f>
        <v>0</v>
      </c>
      <c r="D27" s="6" t="n">
        <f aca="false">C27*$B$5*$B$6*$B$9*$B$10</f>
        <v>0</v>
      </c>
      <c r="E27" s="6" t="n">
        <f aca="false">D27+E26*EXP(-$B$7)</f>
        <v>0</v>
      </c>
      <c r="F27" s="6" t="n">
        <f aca="false">E26*(1-EXP(-$B$7))</f>
        <v>0</v>
      </c>
      <c r="G27" s="6" t="n">
        <f aca="false">C27*$C$5*$C$6*$B$9*$B$10</f>
        <v>0</v>
      </c>
      <c r="H27" s="6" t="n">
        <f aca="false">G27+H26*EXP(-$C$7)</f>
        <v>0</v>
      </c>
      <c r="I27" s="6" t="n">
        <f aca="false">H26*(1-EXP(-$C$7))</f>
        <v>0</v>
      </c>
      <c r="J27" s="6" t="n">
        <f aca="false">C27*$D$5*$D$6*$B$9*$B$10</f>
        <v>0</v>
      </c>
      <c r="K27" s="6" t="n">
        <f aca="false">J27+K26*EXP(-$D$7)</f>
        <v>0</v>
      </c>
      <c r="L27" s="6" t="n">
        <f aca="false">K26*(1-EXP(-$D$7))</f>
        <v>0</v>
      </c>
      <c r="M27" s="6" t="n">
        <f aca="false">C27*$E$5*$E$6*$B$9*$B$10</f>
        <v>0</v>
      </c>
      <c r="N27" s="6" t="n">
        <f aca="false">M27+N26*EXP(-$E$7)</f>
        <v>0</v>
      </c>
      <c r="O27" s="6" t="n">
        <f aca="false">N26*(1-EXP(-$E$7))</f>
        <v>0</v>
      </c>
      <c r="P27" s="6" t="n">
        <f aca="false">C27*$F$5*$F$6*$B$9*$B$10</f>
        <v>0</v>
      </c>
      <c r="Q27" s="6" t="n">
        <f aca="false">P27+Q26*EXP(-$F$7)</f>
        <v>0</v>
      </c>
      <c r="R27" s="6" t="n">
        <f aca="false">Q26*(1-EXP(-$F$7))</f>
        <v>0</v>
      </c>
      <c r="S27" s="6" t="n">
        <f aca="false">C27*$G$5*$G$6*$B$9*$B$10</f>
        <v>0</v>
      </c>
      <c r="T27" s="6" t="n">
        <f aca="false">S27+T26*EXP(-$G$7)</f>
        <v>0</v>
      </c>
      <c r="U27" s="6" t="n">
        <f aca="false">T26*(1-EXP(-$G$7))</f>
        <v>0</v>
      </c>
      <c r="V27" s="6" t="n">
        <f aca="false">F27+I27+L27+O27+R27+U27</f>
        <v>0</v>
      </c>
      <c r="W27" s="6" t="n">
        <f aca="false">V27*$B$11*16/12</f>
        <v>0</v>
      </c>
      <c r="X27" s="6" t="n">
        <f aca="false">(W27-$B$13)*(1-$B$12)</f>
        <v>0</v>
      </c>
      <c r="Y27" s="6" t="n">
        <f aca="false">X27*SUPUESTOS_FE!$B$9</f>
        <v>0</v>
      </c>
      <c r="Z27" s="25" t="n">
        <f aca="false">IF(A27&gt;=CRITERIOS!$B$16,C27,0)</f>
        <v>0</v>
      </c>
      <c r="AA27" s="6" t="n">
        <f aca="false">Z27*$B$5*$B$6*$B$9*$B$10</f>
        <v>0</v>
      </c>
      <c r="AB27" s="6" t="n">
        <f aca="false">AA27+AB26*EXP(-$B$7)</f>
        <v>0</v>
      </c>
      <c r="AC27" s="6" t="n">
        <f aca="false">Z27*$C$5*$C$6*$B$9*$B$10</f>
        <v>0</v>
      </c>
      <c r="AD27" s="6" t="n">
        <f aca="false">AC27+AD26*EXP(-$C$7)</f>
        <v>0</v>
      </c>
      <c r="AE27" s="6" t="n">
        <f aca="false">Z27*$D$5*$D$6*$B$9*$B$10</f>
        <v>0</v>
      </c>
      <c r="AF27" s="6" t="n">
        <f aca="false">AE27+AF26*EXP(-$D$7)</f>
        <v>0</v>
      </c>
      <c r="AG27" s="6" t="n">
        <f aca="false">Z27*$E$5*$E$6*$B$9*$B$10</f>
        <v>0</v>
      </c>
      <c r="AH27" s="6" t="n">
        <f aca="false">AG27+AH26*EXP(-$E$7)</f>
        <v>0</v>
      </c>
      <c r="AI27" s="6" t="n">
        <f aca="false">Z27*$F$5*$F$6*$B$9*$B$10</f>
        <v>0</v>
      </c>
      <c r="AJ27" s="6" t="n">
        <f aca="false">AI27+AJ26*EXP(-$F$7)</f>
        <v>0</v>
      </c>
      <c r="AK27" s="6" t="n">
        <f aca="false">Z27*$G$5*$G$6*$B$9*$B$10</f>
        <v>0</v>
      </c>
      <c r="AL27" s="6" t="n">
        <f aca="false">AK27+AL26*EXP(-$G$7)</f>
        <v>0</v>
      </c>
      <c r="AM27" s="6" t="n">
        <f aca="false">AB26*(1-EXP(-$B$7))+AD26*(1-EXP(-$C$7))+AF26*(1-EXP(-$D$7))+AH26*(1-EXP(-$E$7))+AJ26*(1-EXP(-$F$7))+AL26*(1-EXP(-$G$7))</f>
        <v>0</v>
      </c>
      <c r="AN27" s="6" t="n">
        <f aca="false">AM27*$B$11*16/12*(1-$B$12)*SUPUESTOS_FE!$B$9</f>
        <v>0</v>
      </c>
      <c r="AO27" s="6" t="n">
        <f aca="false">Y27-AN27</f>
        <v>0</v>
      </c>
    </row>
    <row r="28" customFormat="false" ht="15" hidden="false" customHeight="false" outlineLevel="0" collapsed="false">
      <c r="A28" s="51" t="n">
        <v>1997</v>
      </c>
      <c r="B28" s="25" t="n">
        <f aca="false">SUPUESTOS_FE!$B$5*(1+$B$15)^(A28-2022)</f>
        <v>34497.7136034513</v>
      </c>
      <c r="C28" s="25" t="n">
        <f aca="false">IF(A28&gt;=$B$14,B28*$B$16*365/1000*$B$17,0)</f>
        <v>0</v>
      </c>
      <c r="D28" s="6" t="n">
        <f aca="false">C28*$B$5*$B$6*$B$9*$B$10</f>
        <v>0</v>
      </c>
      <c r="E28" s="6" t="n">
        <f aca="false">D28+E27*EXP(-$B$7)</f>
        <v>0</v>
      </c>
      <c r="F28" s="6" t="n">
        <f aca="false">E27*(1-EXP(-$B$7))</f>
        <v>0</v>
      </c>
      <c r="G28" s="6" t="n">
        <f aca="false">C28*$C$5*$C$6*$B$9*$B$10</f>
        <v>0</v>
      </c>
      <c r="H28" s="6" t="n">
        <f aca="false">G28+H27*EXP(-$C$7)</f>
        <v>0</v>
      </c>
      <c r="I28" s="6" t="n">
        <f aca="false">H27*(1-EXP(-$C$7))</f>
        <v>0</v>
      </c>
      <c r="J28" s="6" t="n">
        <f aca="false">C28*$D$5*$D$6*$B$9*$B$10</f>
        <v>0</v>
      </c>
      <c r="K28" s="6" t="n">
        <f aca="false">J28+K27*EXP(-$D$7)</f>
        <v>0</v>
      </c>
      <c r="L28" s="6" t="n">
        <f aca="false">K27*(1-EXP(-$D$7))</f>
        <v>0</v>
      </c>
      <c r="M28" s="6" t="n">
        <f aca="false">C28*$E$5*$E$6*$B$9*$B$10</f>
        <v>0</v>
      </c>
      <c r="N28" s="6" t="n">
        <f aca="false">M28+N27*EXP(-$E$7)</f>
        <v>0</v>
      </c>
      <c r="O28" s="6" t="n">
        <f aca="false">N27*(1-EXP(-$E$7))</f>
        <v>0</v>
      </c>
      <c r="P28" s="6" t="n">
        <f aca="false">C28*$F$5*$F$6*$B$9*$B$10</f>
        <v>0</v>
      </c>
      <c r="Q28" s="6" t="n">
        <f aca="false">P28+Q27*EXP(-$F$7)</f>
        <v>0</v>
      </c>
      <c r="R28" s="6" t="n">
        <f aca="false">Q27*(1-EXP(-$F$7))</f>
        <v>0</v>
      </c>
      <c r="S28" s="6" t="n">
        <f aca="false">C28*$G$5*$G$6*$B$9*$B$10</f>
        <v>0</v>
      </c>
      <c r="T28" s="6" t="n">
        <f aca="false">S28+T27*EXP(-$G$7)</f>
        <v>0</v>
      </c>
      <c r="U28" s="6" t="n">
        <f aca="false">T27*(1-EXP(-$G$7))</f>
        <v>0</v>
      </c>
      <c r="V28" s="6" t="n">
        <f aca="false">F28+I28+L28+O28+R28+U28</f>
        <v>0</v>
      </c>
      <c r="W28" s="6" t="n">
        <f aca="false">V28*$B$11*16/12</f>
        <v>0</v>
      </c>
      <c r="X28" s="6" t="n">
        <f aca="false">(W28-$B$13)*(1-$B$12)</f>
        <v>0</v>
      </c>
      <c r="Y28" s="6" t="n">
        <f aca="false">X28*SUPUESTOS_FE!$B$9</f>
        <v>0</v>
      </c>
      <c r="Z28" s="25" t="n">
        <f aca="false">IF(A28&gt;=CRITERIOS!$B$16,C28,0)</f>
        <v>0</v>
      </c>
      <c r="AA28" s="6" t="n">
        <f aca="false">Z28*$B$5*$B$6*$B$9*$B$10</f>
        <v>0</v>
      </c>
      <c r="AB28" s="6" t="n">
        <f aca="false">AA28+AB27*EXP(-$B$7)</f>
        <v>0</v>
      </c>
      <c r="AC28" s="6" t="n">
        <f aca="false">Z28*$C$5*$C$6*$B$9*$B$10</f>
        <v>0</v>
      </c>
      <c r="AD28" s="6" t="n">
        <f aca="false">AC28+AD27*EXP(-$C$7)</f>
        <v>0</v>
      </c>
      <c r="AE28" s="6" t="n">
        <f aca="false">Z28*$D$5*$D$6*$B$9*$B$10</f>
        <v>0</v>
      </c>
      <c r="AF28" s="6" t="n">
        <f aca="false">AE28+AF27*EXP(-$D$7)</f>
        <v>0</v>
      </c>
      <c r="AG28" s="6" t="n">
        <f aca="false">Z28*$E$5*$E$6*$B$9*$B$10</f>
        <v>0</v>
      </c>
      <c r="AH28" s="6" t="n">
        <f aca="false">AG28+AH27*EXP(-$E$7)</f>
        <v>0</v>
      </c>
      <c r="AI28" s="6" t="n">
        <f aca="false">Z28*$F$5*$F$6*$B$9*$B$10</f>
        <v>0</v>
      </c>
      <c r="AJ28" s="6" t="n">
        <f aca="false">AI28+AJ27*EXP(-$F$7)</f>
        <v>0</v>
      </c>
      <c r="AK28" s="6" t="n">
        <f aca="false">Z28*$G$5*$G$6*$B$9*$B$10</f>
        <v>0</v>
      </c>
      <c r="AL28" s="6" t="n">
        <f aca="false">AK28+AL27*EXP(-$G$7)</f>
        <v>0</v>
      </c>
      <c r="AM28" s="6" t="n">
        <f aca="false">AB27*(1-EXP(-$B$7))+AD27*(1-EXP(-$C$7))+AF27*(1-EXP(-$D$7))+AH27*(1-EXP(-$E$7))+AJ27*(1-EXP(-$F$7))+AL27*(1-EXP(-$G$7))</f>
        <v>0</v>
      </c>
      <c r="AN28" s="6" t="n">
        <f aca="false">AM28*$B$11*16/12*(1-$B$12)*SUPUESTOS_FE!$B$9</f>
        <v>0</v>
      </c>
      <c r="AO28" s="6" t="n">
        <f aca="false">Y28-AN28</f>
        <v>0</v>
      </c>
    </row>
    <row r="29" customFormat="false" ht="15" hidden="false" customHeight="false" outlineLevel="0" collapsed="false">
      <c r="A29" s="51" t="n">
        <v>1998</v>
      </c>
      <c r="B29" s="25" t="n">
        <f aca="false">SUPUESTOS_FE!$B$5*(1+$B$15)^(A29-2022)</f>
        <v>34946.1838802962</v>
      </c>
      <c r="C29" s="25" t="n">
        <f aca="false">IF(A29&gt;=$B$14,B29*$B$16*365/1000*$B$17,0)</f>
        <v>0</v>
      </c>
      <c r="D29" s="6" t="n">
        <f aca="false">C29*$B$5*$B$6*$B$9*$B$10</f>
        <v>0</v>
      </c>
      <c r="E29" s="6" t="n">
        <f aca="false">D29+E28*EXP(-$B$7)</f>
        <v>0</v>
      </c>
      <c r="F29" s="6" t="n">
        <f aca="false">E28*(1-EXP(-$B$7))</f>
        <v>0</v>
      </c>
      <c r="G29" s="6" t="n">
        <f aca="false">C29*$C$5*$C$6*$B$9*$B$10</f>
        <v>0</v>
      </c>
      <c r="H29" s="6" t="n">
        <f aca="false">G29+H28*EXP(-$C$7)</f>
        <v>0</v>
      </c>
      <c r="I29" s="6" t="n">
        <f aca="false">H28*(1-EXP(-$C$7))</f>
        <v>0</v>
      </c>
      <c r="J29" s="6" t="n">
        <f aca="false">C29*$D$5*$D$6*$B$9*$B$10</f>
        <v>0</v>
      </c>
      <c r="K29" s="6" t="n">
        <f aca="false">J29+K28*EXP(-$D$7)</f>
        <v>0</v>
      </c>
      <c r="L29" s="6" t="n">
        <f aca="false">K28*(1-EXP(-$D$7))</f>
        <v>0</v>
      </c>
      <c r="M29" s="6" t="n">
        <f aca="false">C29*$E$5*$E$6*$B$9*$B$10</f>
        <v>0</v>
      </c>
      <c r="N29" s="6" t="n">
        <f aca="false">M29+N28*EXP(-$E$7)</f>
        <v>0</v>
      </c>
      <c r="O29" s="6" t="n">
        <f aca="false">N28*(1-EXP(-$E$7))</f>
        <v>0</v>
      </c>
      <c r="P29" s="6" t="n">
        <f aca="false">C29*$F$5*$F$6*$B$9*$B$10</f>
        <v>0</v>
      </c>
      <c r="Q29" s="6" t="n">
        <f aca="false">P29+Q28*EXP(-$F$7)</f>
        <v>0</v>
      </c>
      <c r="R29" s="6" t="n">
        <f aca="false">Q28*(1-EXP(-$F$7))</f>
        <v>0</v>
      </c>
      <c r="S29" s="6" t="n">
        <f aca="false">C29*$G$5*$G$6*$B$9*$B$10</f>
        <v>0</v>
      </c>
      <c r="T29" s="6" t="n">
        <f aca="false">S29+T28*EXP(-$G$7)</f>
        <v>0</v>
      </c>
      <c r="U29" s="6" t="n">
        <f aca="false">T28*(1-EXP(-$G$7))</f>
        <v>0</v>
      </c>
      <c r="V29" s="6" t="n">
        <f aca="false">F29+I29+L29+O29+R29+U29</f>
        <v>0</v>
      </c>
      <c r="W29" s="6" t="n">
        <f aca="false">V29*$B$11*16/12</f>
        <v>0</v>
      </c>
      <c r="X29" s="6" t="n">
        <f aca="false">(W29-$B$13)*(1-$B$12)</f>
        <v>0</v>
      </c>
      <c r="Y29" s="6" t="n">
        <f aca="false">X29*SUPUESTOS_FE!$B$9</f>
        <v>0</v>
      </c>
      <c r="Z29" s="25" t="n">
        <f aca="false">IF(A29&gt;=CRITERIOS!$B$16,C29,0)</f>
        <v>0</v>
      </c>
      <c r="AA29" s="6" t="n">
        <f aca="false">Z29*$B$5*$B$6*$B$9*$B$10</f>
        <v>0</v>
      </c>
      <c r="AB29" s="6" t="n">
        <f aca="false">AA29+AB28*EXP(-$B$7)</f>
        <v>0</v>
      </c>
      <c r="AC29" s="6" t="n">
        <f aca="false">Z29*$C$5*$C$6*$B$9*$B$10</f>
        <v>0</v>
      </c>
      <c r="AD29" s="6" t="n">
        <f aca="false">AC29+AD28*EXP(-$C$7)</f>
        <v>0</v>
      </c>
      <c r="AE29" s="6" t="n">
        <f aca="false">Z29*$D$5*$D$6*$B$9*$B$10</f>
        <v>0</v>
      </c>
      <c r="AF29" s="6" t="n">
        <f aca="false">AE29+AF28*EXP(-$D$7)</f>
        <v>0</v>
      </c>
      <c r="AG29" s="6" t="n">
        <f aca="false">Z29*$E$5*$E$6*$B$9*$B$10</f>
        <v>0</v>
      </c>
      <c r="AH29" s="6" t="n">
        <f aca="false">AG29+AH28*EXP(-$E$7)</f>
        <v>0</v>
      </c>
      <c r="AI29" s="6" t="n">
        <f aca="false">Z29*$F$5*$F$6*$B$9*$B$10</f>
        <v>0</v>
      </c>
      <c r="AJ29" s="6" t="n">
        <f aca="false">AI29+AJ28*EXP(-$F$7)</f>
        <v>0</v>
      </c>
      <c r="AK29" s="6" t="n">
        <f aca="false">Z29*$G$5*$G$6*$B$9*$B$10</f>
        <v>0</v>
      </c>
      <c r="AL29" s="6" t="n">
        <f aca="false">AK29+AL28*EXP(-$G$7)</f>
        <v>0</v>
      </c>
      <c r="AM29" s="6" t="n">
        <f aca="false">AB28*(1-EXP(-$B$7))+AD28*(1-EXP(-$C$7))+AF28*(1-EXP(-$D$7))+AH28*(1-EXP(-$E$7))+AJ28*(1-EXP(-$F$7))+AL28*(1-EXP(-$G$7))</f>
        <v>0</v>
      </c>
      <c r="AN29" s="6" t="n">
        <f aca="false">AM29*$B$11*16/12*(1-$B$12)*SUPUESTOS_FE!$B$9</f>
        <v>0</v>
      </c>
      <c r="AO29" s="6" t="n">
        <f aca="false">Y29-AN29</f>
        <v>0</v>
      </c>
    </row>
    <row r="30" customFormat="false" ht="15" hidden="false" customHeight="false" outlineLevel="0" collapsed="false">
      <c r="A30" s="51" t="n">
        <v>1999</v>
      </c>
      <c r="B30" s="25" t="n">
        <f aca="false">SUPUESTOS_FE!$B$5*(1+$B$15)^(A30-2022)</f>
        <v>35400.48427074</v>
      </c>
      <c r="C30" s="25" t="n">
        <f aca="false">IF(A30&gt;=$B$14,B30*$B$16*365/1000*$B$17,0)</f>
        <v>0</v>
      </c>
      <c r="D30" s="6" t="n">
        <f aca="false">C30*$B$5*$B$6*$B$9*$B$10</f>
        <v>0</v>
      </c>
      <c r="E30" s="6" t="n">
        <f aca="false">D30+E29*EXP(-$B$7)</f>
        <v>0</v>
      </c>
      <c r="F30" s="6" t="n">
        <f aca="false">E29*(1-EXP(-$B$7))</f>
        <v>0</v>
      </c>
      <c r="G30" s="6" t="n">
        <f aca="false">C30*$C$5*$C$6*$B$9*$B$10</f>
        <v>0</v>
      </c>
      <c r="H30" s="6" t="n">
        <f aca="false">G30+H29*EXP(-$C$7)</f>
        <v>0</v>
      </c>
      <c r="I30" s="6" t="n">
        <f aca="false">H29*(1-EXP(-$C$7))</f>
        <v>0</v>
      </c>
      <c r="J30" s="6" t="n">
        <f aca="false">C30*$D$5*$D$6*$B$9*$B$10</f>
        <v>0</v>
      </c>
      <c r="K30" s="6" t="n">
        <f aca="false">J30+K29*EXP(-$D$7)</f>
        <v>0</v>
      </c>
      <c r="L30" s="6" t="n">
        <f aca="false">K29*(1-EXP(-$D$7))</f>
        <v>0</v>
      </c>
      <c r="M30" s="6" t="n">
        <f aca="false">C30*$E$5*$E$6*$B$9*$B$10</f>
        <v>0</v>
      </c>
      <c r="N30" s="6" t="n">
        <f aca="false">M30+N29*EXP(-$E$7)</f>
        <v>0</v>
      </c>
      <c r="O30" s="6" t="n">
        <f aca="false">N29*(1-EXP(-$E$7))</f>
        <v>0</v>
      </c>
      <c r="P30" s="6" t="n">
        <f aca="false">C30*$F$5*$F$6*$B$9*$B$10</f>
        <v>0</v>
      </c>
      <c r="Q30" s="6" t="n">
        <f aca="false">P30+Q29*EXP(-$F$7)</f>
        <v>0</v>
      </c>
      <c r="R30" s="6" t="n">
        <f aca="false">Q29*(1-EXP(-$F$7))</f>
        <v>0</v>
      </c>
      <c r="S30" s="6" t="n">
        <f aca="false">C30*$G$5*$G$6*$B$9*$B$10</f>
        <v>0</v>
      </c>
      <c r="T30" s="6" t="n">
        <f aca="false">S30+T29*EXP(-$G$7)</f>
        <v>0</v>
      </c>
      <c r="U30" s="6" t="n">
        <f aca="false">T29*(1-EXP(-$G$7))</f>
        <v>0</v>
      </c>
      <c r="V30" s="6" t="n">
        <f aca="false">F30+I30+L30+O30+R30+U30</f>
        <v>0</v>
      </c>
      <c r="W30" s="6" t="n">
        <f aca="false">V30*$B$11*16/12</f>
        <v>0</v>
      </c>
      <c r="X30" s="6" t="n">
        <f aca="false">(W30-$B$13)*(1-$B$12)</f>
        <v>0</v>
      </c>
      <c r="Y30" s="6" t="n">
        <f aca="false">X30*SUPUESTOS_FE!$B$9</f>
        <v>0</v>
      </c>
      <c r="Z30" s="25" t="n">
        <f aca="false">IF(A30&gt;=CRITERIOS!$B$16,C30,0)</f>
        <v>0</v>
      </c>
      <c r="AA30" s="6" t="n">
        <f aca="false">Z30*$B$5*$B$6*$B$9*$B$10</f>
        <v>0</v>
      </c>
      <c r="AB30" s="6" t="n">
        <f aca="false">AA30+AB29*EXP(-$B$7)</f>
        <v>0</v>
      </c>
      <c r="AC30" s="6" t="n">
        <f aca="false">Z30*$C$5*$C$6*$B$9*$B$10</f>
        <v>0</v>
      </c>
      <c r="AD30" s="6" t="n">
        <f aca="false">AC30+AD29*EXP(-$C$7)</f>
        <v>0</v>
      </c>
      <c r="AE30" s="6" t="n">
        <f aca="false">Z30*$D$5*$D$6*$B$9*$B$10</f>
        <v>0</v>
      </c>
      <c r="AF30" s="6" t="n">
        <f aca="false">AE30+AF29*EXP(-$D$7)</f>
        <v>0</v>
      </c>
      <c r="AG30" s="6" t="n">
        <f aca="false">Z30*$E$5*$E$6*$B$9*$B$10</f>
        <v>0</v>
      </c>
      <c r="AH30" s="6" t="n">
        <f aca="false">AG30+AH29*EXP(-$E$7)</f>
        <v>0</v>
      </c>
      <c r="AI30" s="6" t="n">
        <f aca="false">Z30*$F$5*$F$6*$B$9*$B$10</f>
        <v>0</v>
      </c>
      <c r="AJ30" s="6" t="n">
        <f aca="false">AI30+AJ29*EXP(-$F$7)</f>
        <v>0</v>
      </c>
      <c r="AK30" s="6" t="n">
        <f aca="false">Z30*$G$5*$G$6*$B$9*$B$10</f>
        <v>0</v>
      </c>
      <c r="AL30" s="6" t="n">
        <f aca="false">AK30+AL29*EXP(-$G$7)</f>
        <v>0</v>
      </c>
      <c r="AM30" s="6" t="n">
        <f aca="false">AB29*(1-EXP(-$B$7))+AD29*(1-EXP(-$C$7))+AF29*(1-EXP(-$D$7))+AH29*(1-EXP(-$E$7))+AJ29*(1-EXP(-$F$7))+AL29*(1-EXP(-$G$7))</f>
        <v>0</v>
      </c>
      <c r="AN30" s="6" t="n">
        <f aca="false">AM30*$B$11*16/12*(1-$B$12)*SUPUESTOS_FE!$B$9</f>
        <v>0</v>
      </c>
      <c r="AO30" s="6" t="n">
        <f aca="false">Y30-AN30</f>
        <v>0</v>
      </c>
    </row>
    <row r="31" customFormat="false" ht="15" hidden="false" customHeight="false" outlineLevel="0" collapsed="false">
      <c r="A31" s="51" t="n">
        <v>2000</v>
      </c>
      <c r="B31" s="25" t="n">
        <f aca="false">SUPUESTOS_FE!$B$5*(1+$B$15)^(A31-2022)</f>
        <v>35860.6905662596</v>
      </c>
      <c r="C31" s="25" t="n">
        <f aca="false">IF(A31&gt;=$B$14,B31*$B$16*365/1000*$B$17,0)</f>
        <v>0</v>
      </c>
      <c r="D31" s="6" t="n">
        <f aca="false">C31*$B$5*$B$6*$B$9*$B$10</f>
        <v>0</v>
      </c>
      <c r="E31" s="6" t="n">
        <f aca="false">D31+E30*EXP(-$B$7)</f>
        <v>0</v>
      </c>
      <c r="F31" s="6" t="n">
        <f aca="false">E30*(1-EXP(-$B$7))</f>
        <v>0</v>
      </c>
      <c r="G31" s="6" t="n">
        <f aca="false">C31*$C$5*$C$6*$B$9*$B$10</f>
        <v>0</v>
      </c>
      <c r="H31" s="6" t="n">
        <f aca="false">G31+H30*EXP(-$C$7)</f>
        <v>0</v>
      </c>
      <c r="I31" s="6" t="n">
        <f aca="false">H30*(1-EXP(-$C$7))</f>
        <v>0</v>
      </c>
      <c r="J31" s="6" t="n">
        <f aca="false">C31*$D$5*$D$6*$B$9*$B$10</f>
        <v>0</v>
      </c>
      <c r="K31" s="6" t="n">
        <f aca="false">J31+K30*EXP(-$D$7)</f>
        <v>0</v>
      </c>
      <c r="L31" s="6" t="n">
        <f aca="false">K30*(1-EXP(-$D$7))</f>
        <v>0</v>
      </c>
      <c r="M31" s="6" t="n">
        <f aca="false">C31*$E$5*$E$6*$B$9*$B$10</f>
        <v>0</v>
      </c>
      <c r="N31" s="6" t="n">
        <f aca="false">M31+N30*EXP(-$E$7)</f>
        <v>0</v>
      </c>
      <c r="O31" s="6" t="n">
        <f aca="false">N30*(1-EXP(-$E$7))</f>
        <v>0</v>
      </c>
      <c r="P31" s="6" t="n">
        <f aca="false">C31*$F$5*$F$6*$B$9*$B$10</f>
        <v>0</v>
      </c>
      <c r="Q31" s="6" t="n">
        <f aca="false">P31+Q30*EXP(-$F$7)</f>
        <v>0</v>
      </c>
      <c r="R31" s="6" t="n">
        <f aca="false">Q30*(1-EXP(-$F$7))</f>
        <v>0</v>
      </c>
      <c r="S31" s="6" t="n">
        <f aca="false">C31*$G$5*$G$6*$B$9*$B$10</f>
        <v>0</v>
      </c>
      <c r="T31" s="6" t="n">
        <f aca="false">S31+T30*EXP(-$G$7)</f>
        <v>0</v>
      </c>
      <c r="U31" s="6" t="n">
        <f aca="false">T30*(1-EXP(-$G$7))</f>
        <v>0</v>
      </c>
      <c r="V31" s="6" t="n">
        <f aca="false">F31+I31+L31+O31+R31+U31</f>
        <v>0</v>
      </c>
      <c r="W31" s="6" t="n">
        <f aca="false">V31*$B$11*16/12</f>
        <v>0</v>
      </c>
      <c r="X31" s="6" t="n">
        <f aca="false">(W31-$B$13)*(1-$B$12)</f>
        <v>0</v>
      </c>
      <c r="Y31" s="6" t="n">
        <f aca="false">X31*SUPUESTOS_FE!$B$9</f>
        <v>0</v>
      </c>
      <c r="Z31" s="25" t="n">
        <f aca="false">IF(A31&gt;=CRITERIOS!$B$16,C31,0)</f>
        <v>0</v>
      </c>
      <c r="AA31" s="6" t="n">
        <f aca="false">Z31*$B$5*$B$6*$B$9*$B$10</f>
        <v>0</v>
      </c>
      <c r="AB31" s="6" t="n">
        <f aca="false">AA31+AB30*EXP(-$B$7)</f>
        <v>0</v>
      </c>
      <c r="AC31" s="6" t="n">
        <f aca="false">Z31*$C$5*$C$6*$B$9*$B$10</f>
        <v>0</v>
      </c>
      <c r="AD31" s="6" t="n">
        <f aca="false">AC31+AD30*EXP(-$C$7)</f>
        <v>0</v>
      </c>
      <c r="AE31" s="6" t="n">
        <f aca="false">Z31*$D$5*$D$6*$B$9*$B$10</f>
        <v>0</v>
      </c>
      <c r="AF31" s="6" t="n">
        <f aca="false">AE31+AF30*EXP(-$D$7)</f>
        <v>0</v>
      </c>
      <c r="AG31" s="6" t="n">
        <f aca="false">Z31*$E$5*$E$6*$B$9*$B$10</f>
        <v>0</v>
      </c>
      <c r="AH31" s="6" t="n">
        <f aca="false">AG31+AH30*EXP(-$E$7)</f>
        <v>0</v>
      </c>
      <c r="AI31" s="6" t="n">
        <f aca="false">Z31*$F$5*$F$6*$B$9*$B$10</f>
        <v>0</v>
      </c>
      <c r="AJ31" s="6" t="n">
        <f aca="false">AI31+AJ30*EXP(-$F$7)</f>
        <v>0</v>
      </c>
      <c r="AK31" s="6" t="n">
        <f aca="false">Z31*$G$5*$G$6*$B$9*$B$10</f>
        <v>0</v>
      </c>
      <c r="AL31" s="6" t="n">
        <f aca="false">AK31+AL30*EXP(-$G$7)</f>
        <v>0</v>
      </c>
      <c r="AM31" s="6" t="n">
        <f aca="false">AB30*(1-EXP(-$B$7))+AD30*(1-EXP(-$C$7))+AF30*(1-EXP(-$D$7))+AH30*(1-EXP(-$E$7))+AJ30*(1-EXP(-$F$7))+AL30*(1-EXP(-$G$7))</f>
        <v>0</v>
      </c>
      <c r="AN31" s="6" t="n">
        <f aca="false">AM31*$B$11*16/12*(1-$B$12)*SUPUESTOS_FE!$B$9</f>
        <v>0</v>
      </c>
      <c r="AO31" s="6" t="n">
        <f aca="false">Y31-AN31</f>
        <v>0</v>
      </c>
    </row>
    <row r="32" customFormat="false" ht="15" hidden="false" customHeight="false" outlineLevel="0" collapsed="false">
      <c r="A32" s="51" t="n">
        <v>2001</v>
      </c>
      <c r="B32" s="25" t="n">
        <f aca="false">SUPUESTOS_FE!$B$5*(1+$B$15)^(A32-2022)</f>
        <v>36326.879543621</v>
      </c>
      <c r="C32" s="25" t="n">
        <f aca="false">IF(A32&gt;=$B$14,B32*$B$16*365/1000*$B$17,0)</f>
        <v>10740.0419370715</v>
      </c>
      <c r="D32" s="6" t="n">
        <f aca="false">C32*$B$5*$B$6*$B$9*$B$10</f>
        <v>295.297453059782</v>
      </c>
      <c r="E32" s="6" t="n">
        <f aca="false">D32+E31*EXP(-$B$7)</f>
        <v>295.297453059782</v>
      </c>
      <c r="F32" s="6" t="n">
        <f aca="false">E31*(1-EXP(-$B$7))</f>
        <v>0</v>
      </c>
      <c r="G32" s="6" t="n">
        <f aca="false">C32*$C$5*$C$6*$B$9*$B$10</f>
        <v>157.878616474952</v>
      </c>
      <c r="H32" s="6" t="n">
        <f aca="false">G32+H31*EXP(-$C$7)</f>
        <v>157.878616474952</v>
      </c>
      <c r="I32" s="6" t="n">
        <f aca="false">H31*(1-EXP(-$C$7))</f>
        <v>0</v>
      </c>
      <c r="J32" s="6" t="n">
        <f aca="false">C32*$D$5*$D$6*$B$9*$B$10</f>
        <v>334.874507597891</v>
      </c>
      <c r="K32" s="6" t="n">
        <f aca="false">J32+K31*EXP(-$D$7)</f>
        <v>334.874507597891</v>
      </c>
      <c r="L32" s="6" t="n">
        <f aca="false">K31*(1-EXP(-$D$7))</f>
        <v>0</v>
      </c>
      <c r="M32" s="6" t="n">
        <f aca="false">C32*$E$5*$E$6*$B$9*$B$10</f>
        <v>6.46550524611707</v>
      </c>
      <c r="N32" s="6" t="n">
        <f aca="false">M32+N31*EXP(-$E$7)</f>
        <v>6.46550524611707</v>
      </c>
      <c r="O32" s="6" t="n">
        <f aca="false">N31*(1-EXP(-$E$7))</f>
        <v>0</v>
      </c>
      <c r="P32" s="6" t="n">
        <f aca="false">C32*$F$5*$F$6*$B$9*$B$10</f>
        <v>13.1458113309756</v>
      </c>
      <c r="Q32" s="6" t="n">
        <f aca="false">P32+Q31*EXP(-$F$7)</f>
        <v>13.1458113309756</v>
      </c>
      <c r="R32" s="6" t="n">
        <f aca="false">Q31*(1-EXP(-$F$7))</f>
        <v>0</v>
      </c>
      <c r="S32" s="6" t="n">
        <f aca="false">C32*$G$5*$G$6*$B$9*$B$10</f>
        <v>121.405434056657</v>
      </c>
      <c r="T32" s="6" t="n">
        <f aca="false">S32+T31*EXP(-$G$7)</f>
        <v>121.405434056657</v>
      </c>
      <c r="U32" s="6" t="n">
        <f aca="false">T31*(1-EXP(-$G$7))</f>
        <v>0</v>
      </c>
      <c r="V32" s="6" t="n">
        <f aca="false">F32+I32+L32+O32+R32+U32</f>
        <v>0</v>
      </c>
      <c r="W32" s="6" t="n">
        <f aca="false">V32*$B$11*16/12</f>
        <v>0</v>
      </c>
      <c r="X32" s="6" t="n">
        <f aca="false">(W32-$B$13)*(1-$B$12)</f>
        <v>0</v>
      </c>
      <c r="Y32" s="6" t="n">
        <f aca="false">X32*SUPUESTOS_FE!$B$9</f>
        <v>0</v>
      </c>
      <c r="Z32" s="25" t="n">
        <f aca="false">IF(A32&gt;=CRITERIOS!$B$16,C32,0)</f>
        <v>0</v>
      </c>
      <c r="AA32" s="6" t="n">
        <f aca="false">Z32*$B$5*$B$6*$B$9*$B$10</f>
        <v>0</v>
      </c>
      <c r="AB32" s="6" t="n">
        <f aca="false">AA32+AB31*EXP(-$B$7)</f>
        <v>0</v>
      </c>
      <c r="AC32" s="6" t="n">
        <f aca="false">Z32*$C$5*$C$6*$B$9*$B$10</f>
        <v>0</v>
      </c>
      <c r="AD32" s="6" t="n">
        <f aca="false">AC32+AD31*EXP(-$C$7)</f>
        <v>0</v>
      </c>
      <c r="AE32" s="6" t="n">
        <f aca="false">Z32*$D$5*$D$6*$B$9*$B$10</f>
        <v>0</v>
      </c>
      <c r="AF32" s="6" t="n">
        <f aca="false">AE32+AF31*EXP(-$D$7)</f>
        <v>0</v>
      </c>
      <c r="AG32" s="6" t="n">
        <f aca="false">Z32*$E$5*$E$6*$B$9*$B$10</f>
        <v>0</v>
      </c>
      <c r="AH32" s="6" t="n">
        <f aca="false">AG32+AH31*EXP(-$E$7)</f>
        <v>0</v>
      </c>
      <c r="AI32" s="6" t="n">
        <f aca="false">Z32*$F$5*$F$6*$B$9*$B$10</f>
        <v>0</v>
      </c>
      <c r="AJ32" s="6" t="n">
        <f aca="false">AI32+AJ31*EXP(-$F$7)</f>
        <v>0</v>
      </c>
      <c r="AK32" s="6" t="n">
        <f aca="false">Z32*$G$5*$G$6*$B$9*$B$10</f>
        <v>0</v>
      </c>
      <c r="AL32" s="6" t="n">
        <f aca="false">AK32+AL31*EXP(-$G$7)</f>
        <v>0</v>
      </c>
      <c r="AM32" s="6" t="n">
        <f aca="false">AB31*(1-EXP(-$B$7))+AD31*(1-EXP(-$C$7))+AF31*(1-EXP(-$D$7))+AH31*(1-EXP(-$E$7))+AJ31*(1-EXP(-$F$7))+AL31*(1-EXP(-$G$7))</f>
        <v>0</v>
      </c>
      <c r="AN32" s="6" t="n">
        <f aca="false">AM32*$B$11*16/12*(1-$B$12)*SUPUESTOS_FE!$B$9</f>
        <v>0</v>
      </c>
      <c r="AO32" s="6" t="n">
        <f aca="false">Y32-AN32</f>
        <v>0</v>
      </c>
    </row>
    <row r="33" customFormat="false" ht="15" hidden="false" customHeight="false" outlineLevel="0" collapsed="false">
      <c r="A33" s="51" t="n">
        <v>2002</v>
      </c>
      <c r="B33" s="25" t="n">
        <f aca="false">SUPUESTOS_FE!$B$5*(1+$B$15)^(A33-2022)</f>
        <v>36799.1289776881</v>
      </c>
      <c r="C33" s="25" t="n">
        <f aca="false">IF(A33&gt;=$B$14,B33*$B$16*365/1000*$B$17,0)</f>
        <v>10879.6624822535</v>
      </c>
      <c r="D33" s="6" t="n">
        <f aca="false">C33*$B$5*$B$6*$B$9*$B$10</f>
        <v>299.136319949559</v>
      </c>
      <c r="E33" s="6" t="n">
        <f aca="false">D33+E32*EXP(-$B$7)</f>
        <v>577.236988099022</v>
      </c>
      <c r="F33" s="6" t="n">
        <f aca="false">E32*(1-EXP(-$B$7))</f>
        <v>17.1967849103198</v>
      </c>
      <c r="G33" s="6" t="n">
        <f aca="false">C33*$C$5*$C$6*$B$9*$B$10</f>
        <v>159.931038489126</v>
      </c>
      <c r="H33" s="6" t="n">
        <f aca="false">G33+H32*EXP(-$C$7)</f>
        <v>310.109823979563</v>
      </c>
      <c r="I33" s="6" t="n">
        <f aca="false">H32*(1-EXP(-$C$7))</f>
        <v>7.69983098451445</v>
      </c>
      <c r="J33" s="6" t="n">
        <f aca="false">C33*$D$5*$D$6*$B$9*$B$10</f>
        <v>339.227876196663</v>
      </c>
      <c r="K33" s="6" t="n">
        <f aca="false">J33+K32*EXP(-$D$7)</f>
        <v>660.971766538051</v>
      </c>
      <c r="L33" s="6" t="n">
        <f aca="false">K32*(1-EXP(-$D$7))</f>
        <v>13.1306172565029</v>
      </c>
      <c r="M33" s="6" t="n">
        <f aca="false">C33*$E$5*$E$6*$B$9*$B$10</f>
        <v>6.54955681431659</v>
      </c>
      <c r="N33" s="6" t="n">
        <f aca="false">M33+N32*EXP(-$E$7)</f>
        <v>12.8870364788184</v>
      </c>
      <c r="O33" s="6" t="n">
        <f aca="false">N32*(1-EXP(-$E$7))</f>
        <v>0.128025581615252</v>
      </c>
      <c r="P33" s="6" t="n">
        <f aca="false">C33*$F$5*$F$6*$B$9*$B$10</f>
        <v>13.3167068782783</v>
      </c>
      <c r="Q33" s="6" t="n">
        <f aca="false">P33+Q32*EXP(-$F$7)</f>
        <v>25.9470635741685</v>
      </c>
      <c r="R33" s="6" t="n">
        <f aca="false">Q32*(1-EXP(-$F$7))</f>
        <v>0.515454635085297</v>
      </c>
      <c r="S33" s="6" t="n">
        <f aca="false">C33*$G$5*$G$6*$B$9*$B$10</f>
        <v>122.983704699393</v>
      </c>
      <c r="T33" s="6" t="n">
        <f aca="false">S33+T32*EXP(-$G$7)</f>
        <v>239.628763596733</v>
      </c>
      <c r="U33" s="6" t="n">
        <f aca="false">T32*(1-EXP(-$G$7))</f>
        <v>4.76037515931716</v>
      </c>
      <c r="V33" s="6" t="n">
        <f aca="false">F33+I33+L33+O33+R33+U33</f>
        <v>43.4310885273549</v>
      </c>
      <c r="W33" s="6" t="n">
        <f aca="false">V33*$B$11*16/12</f>
        <v>28.9540590182366</v>
      </c>
      <c r="X33" s="6" t="n">
        <f aca="false">(W33-$B$13)*(1-$B$12)</f>
        <v>26.0586531164129</v>
      </c>
      <c r="Y33" s="6" t="n">
        <f aca="false">X33*SUPUESTOS_FE!$B$9</f>
        <v>729.642287259562</v>
      </c>
      <c r="Z33" s="25" t="n">
        <f aca="false">IF(A33&gt;=CRITERIOS!$B$16,C33,0)</f>
        <v>0</v>
      </c>
      <c r="AA33" s="6" t="n">
        <f aca="false">Z33*$B$5*$B$6*$B$9*$B$10</f>
        <v>0</v>
      </c>
      <c r="AB33" s="6" t="n">
        <f aca="false">AA33+AB32*EXP(-$B$7)</f>
        <v>0</v>
      </c>
      <c r="AC33" s="6" t="n">
        <f aca="false">Z33*$C$5*$C$6*$B$9*$B$10</f>
        <v>0</v>
      </c>
      <c r="AD33" s="6" t="n">
        <f aca="false">AC33+AD32*EXP(-$C$7)</f>
        <v>0</v>
      </c>
      <c r="AE33" s="6" t="n">
        <f aca="false">Z33*$D$5*$D$6*$B$9*$B$10</f>
        <v>0</v>
      </c>
      <c r="AF33" s="6" t="n">
        <f aca="false">AE33+AF32*EXP(-$D$7)</f>
        <v>0</v>
      </c>
      <c r="AG33" s="6" t="n">
        <f aca="false">Z33*$E$5*$E$6*$B$9*$B$10</f>
        <v>0</v>
      </c>
      <c r="AH33" s="6" t="n">
        <f aca="false">AG33+AH32*EXP(-$E$7)</f>
        <v>0</v>
      </c>
      <c r="AI33" s="6" t="n">
        <f aca="false">Z33*$F$5*$F$6*$B$9*$B$10</f>
        <v>0</v>
      </c>
      <c r="AJ33" s="6" t="n">
        <f aca="false">AI33+AJ32*EXP(-$F$7)</f>
        <v>0</v>
      </c>
      <c r="AK33" s="6" t="n">
        <f aca="false">Z33*$G$5*$G$6*$B$9*$B$10</f>
        <v>0</v>
      </c>
      <c r="AL33" s="6" t="n">
        <f aca="false">AK33+AL32*EXP(-$G$7)</f>
        <v>0</v>
      </c>
      <c r="AM33" s="6" t="n">
        <f aca="false">AB32*(1-EXP(-$B$7))+AD32*(1-EXP(-$C$7))+AF32*(1-EXP(-$D$7))+AH32*(1-EXP(-$E$7))+AJ32*(1-EXP(-$F$7))+AL32*(1-EXP(-$G$7))</f>
        <v>0</v>
      </c>
      <c r="AN33" s="6" t="n">
        <f aca="false">AM33*$B$11*16/12*(1-$B$12)*SUPUESTOS_FE!$B$9</f>
        <v>0</v>
      </c>
      <c r="AO33" s="6" t="n">
        <f aca="false">Y33-AN33</f>
        <v>729.642287259562</v>
      </c>
    </row>
    <row r="34" customFormat="false" ht="15" hidden="false" customHeight="false" outlineLevel="0" collapsed="false">
      <c r="A34" s="51" t="n">
        <v>2003</v>
      </c>
      <c r="B34" s="25" t="n">
        <f aca="false">SUPUESTOS_FE!$B$5*(1+$B$15)^(A34-2022)</f>
        <v>37277.517654398</v>
      </c>
      <c r="C34" s="25" t="n">
        <f aca="false">IF(A34&gt;=$B$14,B34*$B$16*365/1000*$B$17,0)</f>
        <v>11021.0980945228</v>
      </c>
      <c r="D34" s="6" t="n">
        <f aca="false">C34*$B$5*$B$6*$B$9*$B$10</f>
        <v>303.025092108904</v>
      </c>
      <c r="E34" s="6" t="n">
        <f aca="false">D34+E33*EXP(-$B$7)</f>
        <v>846.646414973555</v>
      </c>
      <c r="F34" s="6" t="n">
        <f aca="false">E33*(1-EXP(-$B$7))</f>
        <v>33.61566523437</v>
      </c>
      <c r="G34" s="6" t="n">
        <f aca="false">C34*$C$5*$C$6*$B$9*$B$10</f>
        <v>162.010141989485</v>
      </c>
      <c r="H34" s="6" t="n">
        <f aca="false">G34+H33*EXP(-$C$7)</f>
        <v>456.995731385582</v>
      </c>
      <c r="I34" s="6" t="n">
        <f aca="false">H33*(1-EXP(-$C$7))</f>
        <v>15.1242345834656</v>
      </c>
      <c r="J34" s="6" t="n">
        <f aca="false">C34*$D$5*$D$6*$B$9*$B$10</f>
        <v>343.63783858722</v>
      </c>
      <c r="K34" s="6" t="n">
        <f aca="false">J34+K33*EXP(-$D$7)</f>
        <v>978.692531454835</v>
      </c>
      <c r="L34" s="6" t="n">
        <f aca="false">K33*(1-EXP(-$D$7))</f>
        <v>25.9170736704367</v>
      </c>
      <c r="M34" s="6" t="n">
        <f aca="false">C34*$E$5*$E$6*$B$9*$B$10</f>
        <v>6.63470105290271</v>
      </c>
      <c r="N34" s="6" t="n">
        <f aca="false">M34+N33*EXP(-$E$7)</f>
        <v>19.2665571122963</v>
      </c>
      <c r="O34" s="6" t="n">
        <f aca="false">N33*(1-EXP(-$E$7))</f>
        <v>0.255180419424846</v>
      </c>
      <c r="P34" s="6" t="n">
        <f aca="false">C34*$F$5*$F$6*$B$9*$B$10</f>
        <v>13.4898240676959</v>
      </c>
      <c r="Q34" s="6" t="n">
        <f aca="false">P34+Q33*EXP(-$F$7)</f>
        <v>38.4194887267709</v>
      </c>
      <c r="R34" s="6" t="n">
        <f aca="false">Q33*(1-EXP(-$F$7))</f>
        <v>1.01739891509347</v>
      </c>
      <c r="S34" s="6" t="n">
        <f aca="false">C34*$G$5*$G$6*$B$9*$B$10</f>
        <v>124.582492860485</v>
      </c>
      <c r="T34" s="6" t="n">
        <f aca="false">S34+T33*EXP(-$G$7)</f>
        <v>354.815278241355</v>
      </c>
      <c r="U34" s="6" t="n">
        <f aca="false">T33*(1-EXP(-$G$7))</f>
        <v>9.39597821586326</v>
      </c>
      <c r="V34" s="6" t="n">
        <f aca="false">F34+I34+L34+O34+R34+U34</f>
        <v>85.3255310386539</v>
      </c>
      <c r="W34" s="6" t="n">
        <f aca="false">V34*$B$11*16/12</f>
        <v>56.8836873591026</v>
      </c>
      <c r="X34" s="6" t="n">
        <f aca="false">(W34-$B$13)*(1-$B$12)</f>
        <v>51.1953186231923</v>
      </c>
      <c r="Y34" s="6" t="n">
        <f aca="false">X34*SUPUESTOS_FE!$B$9</f>
        <v>1433.46892144938</v>
      </c>
      <c r="Z34" s="25" t="n">
        <f aca="false">IF(A34&gt;=CRITERIOS!$B$16,C34,0)</f>
        <v>0</v>
      </c>
      <c r="AA34" s="6" t="n">
        <f aca="false">Z34*$B$5*$B$6*$B$9*$B$10</f>
        <v>0</v>
      </c>
      <c r="AB34" s="6" t="n">
        <f aca="false">AA34+AB33*EXP(-$B$7)</f>
        <v>0</v>
      </c>
      <c r="AC34" s="6" t="n">
        <f aca="false">Z34*$C$5*$C$6*$B$9*$B$10</f>
        <v>0</v>
      </c>
      <c r="AD34" s="6" t="n">
        <f aca="false">AC34+AD33*EXP(-$C$7)</f>
        <v>0</v>
      </c>
      <c r="AE34" s="6" t="n">
        <f aca="false">Z34*$D$5*$D$6*$B$9*$B$10</f>
        <v>0</v>
      </c>
      <c r="AF34" s="6" t="n">
        <f aca="false">AE34+AF33*EXP(-$D$7)</f>
        <v>0</v>
      </c>
      <c r="AG34" s="6" t="n">
        <f aca="false">Z34*$E$5*$E$6*$B$9*$B$10</f>
        <v>0</v>
      </c>
      <c r="AH34" s="6" t="n">
        <f aca="false">AG34+AH33*EXP(-$E$7)</f>
        <v>0</v>
      </c>
      <c r="AI34" s="6" t="n">
        <f aca="false">Z34*$F$5*$F$6*$B$9*$B$10</f>
        <v>0</v>
      </c>
      <c r="AJ34" s="6" t="n">
        <f aca="false">AI34+AJ33*EXP(-$F$7)</f>
        <v>0</v>
      </c>
      <c r="AK34" s="6" t="n">
        <f aca="false">Z34*$G$5*$G$6*$B$9*$B$10</f>
        <v>0</v>
      </c>
      <c r="AL34" s="6" t="n">
        <f aca="false">AK34+AL33*EXP(-$G$7)</f>
        <v>0</v>
      </c>
      <c r="AM34" s="6" t="n">
        <f aca="false">AB33*(1-EXP(-$B$7))+AD33*(1-EXP(-$C$7))+AF33*(1-EXP(-$D$7))+AH33*(1-EXP(-$E$7))+AJ33*(1-EXP(-$F$7))+AL33*(1-EXP(-$G$7))</f>
        <v>0</v>
      </c>
      <c r="AN34" s="6" t="n">
        <f aca="false">AM34*$B$11*16/12*(1-$B$12)*SUPUESTOS_FE!$B$9</f>
        <v>0</v>
      </c>
      <c r="AO34" s="6" t="n">
        <f aca="false">Y34-AN34</f>
        <v>1433.46892144938</v>
      </c>
    </row>
    <row r="35" customFormat="false" ht="15" hidden="false" customHeight="false" outlineLevel="0" collapsed="false">
      <c r="A35" s="51" t="n">
        <v>2004</v>
      </c>
      <c r="B35" s="25" t="n">
        <f aca="false">SUPUESTOS_FE!$B$5*(1+$B$15)^(A35-2022)</f>
        <v>37762.1253839052</v>
      </c>
      <c r="C35" s="25" t="n">
        <f aca="false">IF(A35&gt;=$B$14,B35*$B$16*365/1000*$B$17,0)</f>
        <v>11164.3723697516</v>
      </c>
      <c r="D35" s="6" t="n">
        <f aca="false">C35*$B$5*$B$6*$B$9*$B$10</f>
        <v>306.964418306319</v>
      </c>
      <c r="E35" s="6" t="n">
        <f aca="false">D35+E34*EXP(-$B$7)</f>
        <v>1104.30598441467</v>
      </c>
      <c r="F35" s="6" t="n">
        <f aca="false">E34*(1-EXP(-$B$7))</f>
        <v>49.3048488652087</v>
      </c>
      <c r="G35" s="6" t="n">
        <f aca="false">C35*$C$5*$C$6*$B$9*$B$10</f>
        <v>164.116273835348</v>
      </c>
      <c r="H35" s="6" t="n">
        <f aca="false">G35+H34*EXP(-$C$7)</f>
        <v>598.824060400538</v>
      </c>
      <c r="I35" s="6" t="n">
        <f aca="false">H34*(1-EXP(-$C$7))</f>
        <v>22.287944820392</v>
      </c>
      <c r="J35" s="6" t="n">
        <f aca="false">C35*$D$5*$D$6*$B$9*$B$10</f>
        <v>348.105130488854</v>
      </c>
      <c r="K35" s="6" t="n">
        <f aca="false">J35+K34*EXP(-$D$7)</f>
        <v>1288.42257888791</v>
      </c>
      <c r="L35" s="6" t="n">
        <f aca="false">K34*(1-EXP(-$D$7))</f>
        <v>38.3750830557767</v>
      </c>
      <c r="M35" s="6" t="n">
        <f aca="false">C35*$E$5*$E$6*$B$9*$B$10</f>
        <v>6.72095216659044</v>
      </c>
      <c r="N35" s="6" t="n">
        <f aca="false">M35+N34*EXP(-$E$7)</f>
        <v>25.6060058872521</v>
      </c>
      <c r="O35" s="6" t="n">
        <f aca="false">N34*(1-EXP(-$E$7))</f>
        <v>0.381503391634637</v>
      </c>
      <c r="P35" s="6" t="n">
        <f aca="false">C35*$F$5*$F$6*$B$9*$B$10</f>
        <v>13.6651917805759</v>
      </c>
      <c r="Q35" s="6" t="n">
        <f aca="false">P35+Q34*EXP(-$F$7)</f>
        <v>50.5782308068892</v>
      </c>
      <c r="R35" s="6" t="n">
        <f aca="false">Q34*(1-EXP(-$F$7))</f>
        <v>1.50644970045769</v>
      </c>
      <c r="S35" s="6" t="n">
        <f aca="false">C35*$G$5*$G$6*$B$9*$B$10</f>
        <v>126.202065267672</v>
      </c>
      <c r="T35" s="6" t="n">
        <f aca="false">S35+T34*EXP(-$G$7)</f>
        <v>467.104837451859</v>
      </c>
      <c r="U35" s="6" t="n">
        <f aca="false">T34*(1-EXP(-$G$7))</f>
        <v>13.912506057168</v>
      </c>
      <c r="V35" s="6" t="n">
        <f aca="false">F35+I35+L35+O35+R35+U35</f>
        <v>125.768335890638</v>
      </c>
      <c r="W35" s="6" t="n">
        <f aca="false">V35*$B$11*16/12</f>
        <v>83.8455572604251</v>
      </c>
      <c r="X35" s="6" t="n">
        <f aca="false">(W35-$B$13)*(1-$B$12)</f>
        <v>75.4610015343826</v>
      </c>
      <c r="Y35" s="6" t="n">
        <f aca="false">X35*SUPUESTOS_FE!$B$9</f>
        <v>2112.90804296271</v>
      </c>
      <c r="Z35" s="25" t="n">
        <f aca="false">IF(A35&gt;=CRITERIOS!$B$16,C35,0)</f>
        <v>0</v>
      </c>
      <c r="AA35" s="6" t="n">
        <f aca="false">Z35*$B$5*$B$6*$B$9*$B$10</f>
        <v>0</v>
      </c>
      <c r="AB35" s="6" t="n">
        <f aca="false">AA35+AB34*EXP(-$B$7)</f>
        <v>0</v>
      </c>
      <c r="AC35" s="6" t="n">
        <f aca="false">Z35*$C$5*$C$6*$B$9*$B$10</f>
        <v>0</v>
      </c>
      <c r="AD35" s="6" t="n">
        <f aca="false">AC35+AD34*EXP(-$C$7)</f>
        <v>0</v>
      </c>
      <c r="AE35" s="6" t="n">
        <f aca="false">Z35*$D$5*$D$6*$B$9*$B$10</f>
        <v>0</v>
      </c>
      <c r="AF35" s="6" t="n">
        <f aca="false">AE35+AF34*EXP(-$D$7)</f>
        <v>0</v>
      </c>
      <c r="AG35" s="6" t="n">
        <f aca="false">Z35*$E$5*$E$6*$B$9*$B$10</f>
        <v>0</v>
      </c>
      <c r="AH35" s="6" t="n">
        <f aca="false">AG35+AH34*EXP(-$E$7)</f>
        <v>0</v>
      </c>
      <c r="AI35" s="6" t="n">
        <f aca="false">Z35*$F$5*$F$6*$B$9*$B$10</f>
        <v>0</v>
      </c>
      <c r="AJ35" s="6" t="n">
        <f aca="false">AI35+AJ34*EXP(-$F$7)</f>
        <v>0</v>
      </c>
      <c r="AK35" s="6" t="n">
        <f aca="false">Z35*$G$5*$G$6*$B$9*$B$10</f>
        <v>0</v>
      </c>
      <c r="AL35" s="6" t="n">
        <f aca="false">AK35+AL34*EXP(-$G$7)</f>
        <v>0</v>
      </c>
      <c r="AM35" s="6" t="n">
        <f aca="false">AB34*(1-EXP(-$B$7))+AD34*(1-EXP(-$C$7))+AF34*(1-EXP(-$D$7))+AH34*(1-EXP(-$E$7))+AJ34*(1-EXP(-$F$7))+AL34*(1-EXP(-$G$7))</f>
        <v>0</v>
      </c>
      <c r="AN35" s="6" t="n">
        <f aca="false">AM35*$B$11*16/12*(1-$B$12)*SUPUESTOS_FE!$B$9</f>
        <v>0</v>
      </c>
      <c r="AO35" s="6" t="n">
        <f aca="false">Y35-AN35</f>
        <v>2112.90804296271</v>
      </c>
    </row>
    <row r="36" customFormat="false" ht="15" hidden="false" customHeight="false" outlineLevel="0" collapsed="false">
      <c r="A36" s="51" t="n">
        <v>2005</v>
      </c>
      <c r="B36" s="25" t="n">
        <f aca="false">SUPUESTOS_FE!$B$5*(1+$B$15)^(A36-2022)</f>
        <v>38253.0330138959</v>
      </c>
      <c r="C36" s="25" t="n">
        <f aca="false">IF(A36&gt;=$B$14,B36*$B$16*365/1000*$B$17,0)</f>
        <v>11309.5092105583</v>
      </c>
      <c r="D36" s="6" t="n">
        <f aca="false">C36*$B$5*$B$6*$B$9*$B$10</f>
        <v>310.954955744301</v>
      </c>
      <c r="E36" s="6" t="n">
        <f aca="false">D36+E35*EXP(-$B$7)</f>
        <v>1350.95116609087</v>
      </c>
      <c r="F36" s="6" t="n">
        <f aca="false">E35*(1-EXP(-$B$7))</f>
        <v>64.3097740680934</v>
      </c>
      <c r="G36" s="6" t="n">
        <f aca="false">C36*$C$5*$C$6*$B$9*$B$10</f>
        <v>166.249785395207</v>
      </c>
      <c r="H36" s="6" t="n">
        <f aca="false">G36+H35*EXP(-$C$7)</f>
        <v>735.868851747193</v>
      </c>
      <c r="I36" s="6" t="n">
        <f aca="false">H35*(1-EXP(-$C$7))</f>
        <v>29.2049940485535</v>
      </c>
      <c r="J36" s="6" t="n">
        <f aca="false">C36*$D$5*$D$6*$B$9*$B$10</f>
        <v>352.630497185209</v>
      </c>
      <c r="K36" s="6" t="n">
        <f aca="false">J36+K35*EXP(-$D$7)</f>
        <v>1590.53330414612</v>
      </c>
      <c r="L36" s="6" t="n">
        <f aca="false">K35*(1-EXP(-$D$7))</f>
        <v>50.5197719270052</v>
      </c>
      <c r="M36" s="6" t="n">
        <f aca="false">C36*$E$5*$E$6*$B$9*$B$10</f>
        <v>6.80832454475612</v>
      </c>
      <c r="N36" s="6" t="n">
        <f aca="false">M36+N35*EXP(-$E$7)</f>
        <v>31.9072975441256</v>
      </c>
      <c r="O36" s="6" t="n">
        <f aca="false">N35*(1-EXP(-$E$7))</f>
        <v>0.507032887882627</v>
      </c>
      <c r="P36" s="6" t="n">
        <f aca="false">C36*$F$5*$F$6*$B$9*$B$10</f>
        <v>13.8428392737234</v>
      </c>
      <c r="Q36" s="6" t="n">
        <f aca="false">P36+Q35*EXP(-$F$7)</f>
        <v>62.4378692839912</v>
      </c>
      <c r="R36" s="6" t="n">
        <f aca="false">Q35*(1-EXP(-$F$7))</f>
        <v>1.98320079662137</v>
      </c>
      <c r="S36" s="6" t="n">
        <f aca="false">C36*$G$5*$G$6*$B$9*$B$10</f>
        <v>127.842692116151</v>
      </c>
      <c r="T36" s="6" t="n">
        <f aca="false">S36+T35*EXP(-$G$7)</f>
        <v>576.63208691686</v>
      </c>
      <c r="U36" s="6" t="n">
        <f aca="false">T35*(1-EXP(-$G$7))</f>
        <v>18.3154426511503</v>
      </c>
      <c r="V36" s="6" t="n">
        <f aca="false">F36+I36+L36+O36+R36+U36</f>
        <v>164.840216379306</v>
      </c>
      <c r="W36" s="6" t="n">
        <f aca="false">V36*$B$11*16/12</f>
        <v>109.893477586204</v>
      </c>
      <c r="X36" s="6" t="n">
        <f aca="false">(W36-$B$13)*(1-$B$12)</f>
        <v>98.9041298275838</v>
      </c>
      <c r="Y36" s="6" t="n">
        <f aca="false">X36*SUPUESTOS_FE!$B$9</f>
        <v>2769.31563517235</v>
      </c>
      <c r="Z36" s="25" t="n">
        <f aca="false">IF(A36&gt;=CRITERIOS!$B$16,C36,0)</f>
        <v>0</v>
      </c>
      <c r="AA36" s="6" t="n">
        <f aca="false">Z36*$B$5*$B$6*$B$9*$B$10</f>
        <v>0</v>
      </c>
      <c r="AB36" s="6" t="n">
        <f aca="false">AA36+AB35*EXP(-$B$7)</f>
        <v>0</v>
      </c>
      <c r="AC36" s="6" t="n">
        <f aca="false">Z36*$C$5*$C$6*$B$9*$B$10</f>
        <v>0</v>
      </c>
      <c r="AD36" s="6" t="n">
        <f aca="false">AC36+AD35*EXP(-$C$7)</f>
        <v>0</v>
      </c>
      <c r="AE36" s="6" t="n">
        <f aca="false">Z36*$D$5*$D$6*$B$9*$B$10</f>
        <v>0</v>
      </c>
      <c r="AF36" s="6" t="n">
        <f aca="false">AE36+AF35*EXP(-$D$7)</f>
        <v>0</v>
      </c>
      <c r="AG36" s="6" t="n">
        <f aca="false">Z36*$E$5*$E$6*$B$9*$B$10</f>
        <v>0</v>
      </c>
      <c r="AH36" s="6" t="n">
        <f aca="false">AG36+AH35*EXP(-$E$7)</f>
        <v>0</v>
      </c>
      <c r="AI36" s="6" t="n">
        <f aca="false">Z36*$F$5*$F$6*$B$9*$B$10</f>
        <v>0</v>
      </c>
      <c r="AJ36" s="6" t="n">
        <f aca="false">AI36+AJ35*EXP(-$F$7)</f>
        <v>0</v>
      </c>
      <c r="AK36" s="6" t="n">
        <f aca="false">Z36*$G$5*$G$6*$B$9*$B$10</f>
        <v>0</v>
      </c>
      <c r="AL36" s="6" t="n">
        <f aca="false">AK36+AL35*EXP(-$G$7)</f>
        <v>0</v>
      </c>
      <c r="AM36" s="6" t="n">
        <f aca="false">AB35*(1-EXP(-$B$7))+AD35*(1-EXP(-$C$7))+AF35*(1-EXP(-$D$7))+AH35*(1-EXP(-$E$7))+AJ35*(1-EXP(-$F$7))+AL35*(1-EXP(-$G$7))</f>
        <v>0</v>
      </c>
      <c r="AN36" s="6" t="n">
        <f aca="false">AM36*$B$11*16/12*(1-$B$12)*SUPUESTOS_FE!$B$9</f>
        <v>0</v>
      </c>
      <c r="AO36" s="6" t="n">
        <f aca="false">Y36-AN36</f>
        <v>2769.31563517235</v>
      </c>
    </row>
    <row r="37" customFormat="false" ht="15" hidden="false" customHeight="false" outlineLevel="0" collapsed="false">
      <c r="A37" s="51" t="n">
        <v>2006</v>
      </c>
      <c r="B37" s="25" t="n">
        <f aca="false">SUPUESTOS_FE!$B$5*(1+$B$15)^(A37-2022)</f>
        <v>38750.3224430766</v>
      </c>
      <c r="C37" s="25" t="n">
        <f aca="false">IF(A37&gt;=$B$14,B37*$B$16*365/1000*$B$17,0)</f>
        <v>11456.5328302956</v>
      </c>
      <c r="D37" s="6" t="n">
        <f aca="false">C37*$B$5*$B$6*$B$9*$B$10</f>
        <v>314.997370168977</v>
      </c>
      <c r="E37" s="6" t="n">
        <f aca="false">D37+E36*EXP(-$B$7)</f>
        <v>1587.27526499765</v>
      </c>
      <c r="F37" s="6" t="n">
        <f aca="false">E36*(1-EXP(-$B$7))</f>
        <v>78.6732712622051</v>
      </c>
      <c r="G37" s="6" t="n">
        <f aca="false">C37*$C$5*$C$6*$B$9*$B$10</f>
        <v>168.411032605345</v>
      </c>
      <c r="H37" s="6" t="n">
        <f aca="false">G37+H36*EXP(-$C$7)</f>
        <v>868.391136960828</v>
      </c>
      <c r="I37" s="6" t="n">
        <f aca="false">H36*(1-EXP(-$C$7))</f>
        <v>35.8887473917093</v>
      </c>
      <c r="J37" s="6" t="n">
        <f aca="false">C37*$D$5*$D$6*$B$9*$B$10</f>
        <v>357.214693648617</v>
      </c>
      <c r="K37" s="6" t="n">
        <f aca="false">J37+K36*EXP(-$D$7)</f>
        <v>1885.38229489225</v>
      </c>
      <c r="L37" s="6" t="n">
        <f aca="false">K36*(1-EXP(-$D$7))</f>
        <v>62.3657029024777</v>
      </c>
      <c r="M37" s="6" t="n">
        <f aca="false">C37*$E$5*$E$6*$B$9*$B$10</f>
        <v>6.89683276383795</v>
      </c>
      <c r="N37" s="6" t="n">
        <f aca="false">M37+N36*EXP(-$E$7)</f>
        <v>38.1723234853937</v>
      </c>
      <c r="O37" s="6" t="n">
        <f aca="false">N36*(1-EXP(-$E$7))</f>
        <v>0.631806822569796</v>
      </c>
      <c r="P37" s="6" t="n">
        <f aca="false">C37*$F$5*$F$6*$B$9*$B$10</f>
        <v>14.0227961842818</v>
      </c>
      <c r="Q37" s="6" t="n">
        <f aca="false">P37+Q36*EXP(-$F$7)</f>
        <v>74.0124415955138</v>
      </c>
      <c r="R37" s="6" t="n">
        <f aca="false">Q36*(1-EXP(-$F$7))</f>
        <v>2.44822387275923</v>
      </c>
      <c r="S37" s="6" t="n">
        <f aca="false">C37*$G$5*$G$6*$B$9*$B$10</f>
        <v>129.504647113661</v>
      </c>
      <c r="T37" s="6" t="n">
        <f aca="false">S37+T36*EXP(-$G$7)</f>
        <v>683.526666499745</v>
      </c>
      <c r="U37" s="6" t="n">
        <f aca="false">T36*(1-EXP(-$G$7))</f>
        <v>22.6100675307764</v>
      </c>
      <c r="V37" s="6" t="n">
        <f aca="false">F37+I37+L37+O37+R37+U37</f>
        <v>202.617819782498</v>
      </c>
      <c r="W37" s="6" t="n">
        <f aca="false">V37*$B$11*16/12</f>
        <v>135.078546521665</v>
      </c>
      <c r="X37" s="6" t="n">
        <f aca="false">(W37-$B$13)*(1-$B$12)</f>
        <v>121.570691869499</v>
      </c>
      <c r="Y37" s="6" t="n">
        <f aca="false">X37*SUPUESTOS_FE!$B$9</f>
        <v>3403.97937234596</v>
      </c>
      <c r="Z37" s="25" t="n">
        <f aca="false">IF(A37&gt;=CRITERIOS!$B$16,C37,0)</f>
        <v>0</v>
      </c>
      <c r="AA37" s="6" t="n">
        <f aca="false">Z37*$B$5*$B$6*$B$9*$B$10</f>
        <v>0</v>
      </c>
      <c r="AB37" s="6" t="n">
        <f aca="false">AA37+AB36*EXP(-$B$7)</f>
        <v>0</v>
      </c>
      <c r="AC37" s="6" t="n">
        <f aca="false">Z37*$C$5*$C$6*$B$9*$B$10</f>
        <v>0</v>
      </c>
      <c r="AD37" s="6" t="n">
        <f aca="false">AC37+AD36*EXP(-$C$7)</f>
        <v>0</v>
      </c>
      <c r="AE37" s="6" t="n">
        <f aca="false">Z37*$D$5*$D$6*$B$9*$B$10</f>
        <v>0</v>
      </c>
      <c r="AF37" s="6" t="n">
        <f aca="false">AE37+AF36*EXP(-$D$7)</f>
        <v>0</v>
      </c>
      <c r="AG37" s="6" t="n">
        <f aca="false">Z37*$E$5*$E$6*$B$9*$B$10</f>
        <v>0</v>
      </c>
      <c r="AH37" s="6" t="n">
        <f aca="false">AG37+AH36*EXP(-$E$7)</f>
        <v>0</v>
      </c>
      <c r="AI37" s="6" t="n">
        <f aca="false">Z37*$F$5*$F$6*$B$9*$B$10</f>
        <v>0</v>
      </c>
      <c r="AJ37" s="6" t="n">
        <f aca="false">AI37+AJ36*EXP(-$F$7)</f>
        <v>0</v>
      </c>
      <c r="AK37" s="6" t="n">
        <f aca="false">Z37*$G$5*$G$6*$B$9*$B$10</f>
        <v>0</v>
      </c>
      <c r="AL37" s="6" t="n">
        <f aca="false">AK37+AL36*EXP(-$G$7)</f>
        <v>0</v>
      </c>
      <c r="AM37" s="6" t="n">
        <f aca="false">AB36*(1-EXP(-$B$7))+AD36*(1-EXP(-$C$7))+AF36*(1-EXP(-$D$7))+AH36*(1-EXP(-$E$7))+AJ36*(1-EXP(-$F$7))+AL36*(1-EXP(-$G$7))</f>
        <v>0</v>
      </c>
      <c r="AN37" s="6" t="n">
        <f aca="false">AM37*$B$11*16/12*(1-$B$12)*SUPUESTOS_FE!$B$9</f>
        <v>0</v>
      </c>
      <c r="AO37" s="6" t="n">
        <f aca="false">Y37-AN37</f>
        <v>3403.97937234596</v>
      </c>
    </row>
    <row r="38" customFormat="false" ht="15" hidden="false" customHeight="false" outlineLevel="0" collapsed="false">
      <c r="A38" s="51" t="n">
        <v>2007</v>
      </c>
      <c r="B38" s="25" t="n">
        <f aca="false">SUPUESTOS_FE!$B$5*(1+$B$15)^(A38-2022)</f>
        <v>39254.0766348366</v>
      </c>
      <c r="C38" s="25" t="n">
        <f aca="false">IF(A38&gt;=$B$14,B38*$B$16*365/1000*$B$17,0)</f>
        <v>11605.4677570894</v>
      </c>
      <c r="D38" s="6" t="n">
        <f aca="false">C38*$B$5*$B$6*$B$9*$B$10</f>
        <v>319.092335981174</v>
      </c>
      <c r="E38" s="6" t="n">
        <f aca="false">D38+E37*EXP(-$B$7)</f>
        <v>1813.9318855915</v>
      </c>
      <c r="F38" s="6" t="n">
        <f aca="false">E37*(1-EXP(-$B$7))</f>
        <v>92.4357153873231</v>
      </c>
      <c r="G38" s="6" t="n">
        <f aca="false">C38*$C$5*$C$6*$B$9*$B$10</f>
        <v>170.600376029215</v>
      </c>
      <c r="H38" s="6" t="n">
        <f aca="false">G38+H37*EXP(-$C$7)</f>
        <v>996.639577481984</v>
      </c>
      <c r="I38" s="6" t="n">
        <f aca="false">H37*(1-EXP(-$C$7))</f>
        <v>42.3519355080589</v>
      </c>
      <c r="J38" s="6" t="n">
        <f aca="false">C38*$D$5*$D$6*$B$9*$B$10</f>
        <v>361.858484666049</v>
      </c>
      <c r="K38" s="6" t="n">
        <f aca="false">J38+K37*EXP(-$D$7)</f>
        <v>2173.3138823633</v>
      </c>
      <c r="L38" s="6" t="n">
        <f aca="false">K37*(1-EXP(-$D$7))</f>
        <v>73.9268971950053</v>
      </c>
      <c r="M38" s="6" t="n">
        <f aca="false">C38*$E$5*$E$6*$B$9*$B$10</f>
        <v>6.98649158976784</v>
      </c>
      <c r="N38" s="6" t="n">
        <f aca="false">M38+N37*EXP(-$E$7)</f>
        <v>44.402952427187</v>
      </c>
      <c r="O38" s="6" t="n">
        <f aca="false">N37*(1-EXP(-$E$7))</f>
        <v>0.7558626479745</v>
      </c>
      <c r="P38" s="6" t="n">
        <f aca="false">C38*$F$5*$F$6*$B$9*$B$10</f>
        <v>14.2050925346775</v>
      </c>
      <c r="Q38" s="6" t="n">
        <f aca="false">P38+Q37*EXP(-$F$7)</f>
        <v>85.3154647855252</v>
      </c>
      <c r="R38" s="6" t="n">
        <f aca="false">Q37*(1-EXP(-$F$7))</f>
        <v>2.90206934466602</v>
      </c>
      <c r="S38" s="6" t="n">
        <f aca="false">C38*$G$5*$G$6*$B$9*$B$10</f>
        <v>131.188207526139</v>
      </c>
      <c r="T38" s="6" t="n">
        <f aca="false">S38+T37*EXP(-$G$7)</f>
        <v>787.913410078086</v>
      </c>
      <c r="U38" s="6" t="n">
        <f aca="false">T37*(1-EXP(-$G$7))</f>
        <v>26.8014639477979</v>
      </c>
      <c r="V38" s="6" t="n">
        <f aca="false">F38+I38+L38+O38+R38+U38</f>
        <v>239.173944030826</v>
      </c>
      <c r="W38" s="6" t="n">
        <f aca="false">V38*$B$11*16/12</f>
        <v>159.449296020551</v>
      </c>
      <c r="X38" s="6" t="n">
        <f aca="false">(W38-$B$13)*(1-$B$12)</f>
        <v>143.504366418495</v>
      </c>
      <c r="Y38" s="6" t="n">
        <f aca="false">X38*SUPUESTOS_FE!$B$9</f>
        <v>4018.12225971787</v>
      </c>
      <c r="Z38" s="25" t="n">
        <f aca="false">IF(A38&gt;=CRITERIOS!$B$16,C38,0)</f>
        <v>0</v>
      </c>
      <c r="AA38" s="6" t="n">
        <f aca="false">Z38*$B$5*$B$6*$B$9*$B$10</f>
        <v>0</v>
      </c>
      <c r="AB38" s="6" t="n">
        <f aca="false">AA38+AB37*EXP(-$B$7)</f>
        <v>0</v>
      </c>
      <c r="AC38" s="6" t="n">
        <f aca="false">Z38*$C$5*$C$6*$B$9*$B$10</f>
        <v>0</v>
      </c>
      <c r="AD38" s="6" t="n">
        <f aca="false">AC38+AD37*EXP(-$C$7)</f>
        <v>0</v>
      </c>
      <c r="AE38" s="6" t="n">
        <f aca="false">Z38*$D$5*$D$6*$B$9*$B$10</f>
        <v>0</v>
      </c>
      <c r="AF38" s="6" t="n">
        <f aca="false">AE38+AF37*EXP(-$D$7)</f>
        <v>0</v>
      </c>
      <c r="AG38" s="6" t="n">
        <f aca="false">Z38*$E$5*$E$6*$B$9*$B$10</f>
        <v>0</v>
      </c>
      <c r="AH38" s="6" t="n">
        <f aca="false">AG38+AH37*EXP(-$E$7)</f>
        <v>0</v>
      </c>
      <c r="AI38" s="6" t="n">
        <f aca="false">Z38*$F$5*$F$6*$B$9*$B$10</f>
        <v>0</v>
      </c>
      <c r="AJ38" s="6" t="n">
        <f aca="false">AI38+AJ37*EXP(-$F$7)</f>
        <v>0</v>
      </c>
      <c r="AK38" s="6" t="n">
        <f aca="false">Z38*$G$5*$G$6*$B$9*$B$10</f>
        <v>0</v>
      </c>
      <c r="AL38" s="6" t="n">
        <f aca="false">AK38+AL37*EXP(-$G$7)</f>
        <v>0</v>
      </c>
      <c r="AM38" s="6" t="n">
        <f aca="false">AB37*(1-EXP(-$B$7))+AD37*(1-EXP(-$C$7))+AF37*(1-EXP(-$D$7))+AH37*(1-EXP(-$E$7))+AJ37*(1-EXP(-$F$7))+AL37*(1-EXP(-$G$7))</f>
        <v>0</v>
      </c>
      <c r="AN38" s="6" t="n">
        <f aca="false">AM38*$B$11*16/12*(1-$B$12)*SUPUESTOS_FE!$B$9</f>
        <v>0</v>
      </c>
      <c r="AO38" s="6" t="n">
        <f aca="false">Y38-AN38</f>
        <v>4018.12225971787</v>
      </c>
    </row>
    <row r="39" customFormat="false" ht="15" hidden="false" customHeight="false" outlineLevel="0" collapsed="false">
      <c r="A39" s="51" t="n">
        <v>2008</v>
      </c>
      <c r="B39" s="25" t="n">
        <f aca="false">SUPUESTOS_FE!$B$5*(1+$B$15)^(A39-2022)</f>
        <v>39764.3796310894</v>
      </c>
      <c r="C39" s="25" t="n">
        <f aca="false">IF(A39&gt;=$B$14,B39*$B$16*365/1000*$B$17,0)</f>
        <v>11756.3388379316</v>
      </c>
      <c r="D39" s="6" t="n">
        <f aca="false">C39*$B$5*$B$6*$B$9*$B$10</f>
        <v>323.240536348929</v>
      </c>
      <c r="E39" s="6" t="n">
        <f aca="false">D39+E38*EXP(-$B$7)</f>
        <v>2031.5372525366</v>
      </c>
      <c r="F39" s="6" t="n">
        <f aca="false">E38*(1-EXP(-$B$7))</f>
        <v>105.635169403824</v>
      </c>
      <c r="G39" s="6" t="n">
        <f aca="false">C39*$C$5*$C$6*$B$9*$B$10</f>
        <v>172.818180917594</v>
      </c>
      <c r="H39" s="6" t="n">
        <f aca="false">G39+H38*EXP(-$C$7)</f>
        <v>1120.85107264042</v>
      </c>
      <c r="I39" s="6" t="n">
        <f aca="false">H38*(1-EXP(-$C$7))</f>
        <v>48.6066857591616</v>
      </c>
      <c r="J39" s="6" t="n">
        <f aca="false">C39*$D$5*$D$6*$B$9*$B$10</f>
        <v>366.562644966707</v>
      </c>
      <c r="K39" s="6" t="n">
        <f aca="false">J39+K38*EXP(-$D$7)</f>
        <v>2454.6596711045</v>
      </c>
      <c r="L39" s="6" t="n">
        <f aca="false">K38*(1-EXP(-$D$7))</f>
        <v>85.2168562255068</v>
      </c>
      <c r="M39" s="6" t="n">
        <f aca="false">C39*$E$5*$E$6*$B$9*$B$10</f>
        <v>7.07731598043482</v>
      </c>
      <c r="N39" s="6" t="n">
        <f aca="false">M39+N38*EXP(-$E$7)</f>
        <v>50.6010310404665</v>
      </c>
      <c r="O39" s="6" t="n">
        <f aca="false">N38*(1-EXP(-$E$7))</f>
        <v>0.879237367155336</v>
      </c>
      <c r="P39" s="6" t="n">
        <f aca="false">C39*$F$5*$F$6*$B$9*$B$10</f>
        <v>14.3897587376283</v>
      </c>
      <c r="Q39" s="6" t="n">
        <f aca="false">P39+Q38*EXP(-$F$7)</f>
        <v>96.3599562999328</v>
      </c>
      <c r="R39" s="6" t="n">
        <f aca="false">Q38*(1-EXP(-$F$7))</f>
        <v>3.34526722322067</v>
      </c>
      <c r="S39" s="6" t="n">
        <f aca="false">C39*$G$5*$G$6*$B$9*$B$10</f>
        <v>132.893654223979</v>
      </c>
      <c r="T39" s="6" t="n">
        <f aca="false">S39+T38*EXP(-$G$7)</f>
        <v>889.912537593497</v>
      </c>
      <c r="U39" s="6" t="n">
        <f aca="false">T38*(1-EXP(-$G$7))</f>
        <v>30.8945267085673</v>
      </c>
      <c r="V39" s="6" t="n">
        <f aca="false">F39+I39+L39+O39+R39+U39</f>
        <v>274.577742687436</v>
      </c>
      <c r="W39" s="6" t="n">
        <f aca="false">V39*$B$11*16/12</f>
        <v>183.05182845829</v>
      </c>
      <c r="X39" s="6" t="n">
        <f aca="false">(W39-$B$13)*(1-$B$12)</f>
        <v>164.746645612461</v>
      </c>
      <c r="Y39" s="6" t="n">
        <f aca="false">X39*SUPUESTOS_FE!$B$9</f>
        <v>4612.90607714892</v>
      </c>
      <c r="Z39" s="25" t="n">
        <f aca="false">IF(A39&gt;=CRITERIOS!$B$16,C39,0)</f>
        <v>0</v>
      </c>
      <c r="AA39" s="6" t="n">
        <f aca="false">Z39*$B$5*$B$6*$B$9*$B$10</f>
        <v>0</v>
      </c>
      <c r="AB39" s="6" t="n">
        <f aca="false">AA39+AB38*EXP(-$B$7)</f>
        <v>0</v>
      </c>
      <c r="AC39" s="6" t="n">
        <f aca="false">Z39*$C$5*$C$6*$B$9*$B$10</f>
        <v>0</v>
      </c>
      <c r="AD39" s="6" t="n">
        <f aca="false">AC39+AD38*EXP(-$C$7)</f>
        <v>0</v>
      </c>
      <c r="AE39" s="6" t="n">
        <f aca="false">Z39*$D$5*$D$6*$B$9*$B$10</f>
        <v>0</v>
      </c>
      <c r="AF39" s="6" t="n">
        <f aca="false">AE39+AF38*EXP(-$D$7)</f>
        <v>0</v>
      </c>
      <c r="AG39" s="6" t="n">
        <f aca="false">Z39*$E$5*$E$6*$B$9*$B$10</f>
        <v>0</v>
      </c>
      <c r="AH39" s="6" t="n">
        <f aca="false">AG39+AH38*EXP(-$E$7)</f>
        <v>0</v>
      </c>
      <c r="AI39" s="6" t="n">
        <f aca="false">Z39*$F$5*$F$6*$B$9*$B$10</f>
        <v>0</v>
      </c>
      <c r="AJ39" s="6" t="n">
        <f aca="false">AI39+AJ38*EXP(-$F$7)</f>
        <v>0</v>
      </c>
      <c r="AK39" s="6" t="n">
        <f aca="false">Z39*$G$5*$G$6*$B$9*$B$10</f>
        <v>0</v>
      </c>
      <c r="AL39" s="6" t="n">
        <f aca="false">AK39+AL38*EXP(-$G$7)</f>
        <v>0</v>
      </c>
      <c r="AM39" s="6" t="n">
        <f aca="false">AB38*(1-EXP(-$B$7))+AD38*(1-EXP(-$C$7))+AF38*(1-EXP(-$D$7))+AH38*(1-EXP(-$E$7))+AJ38*(1-EXP(-$F$7))+AL38*(1-EXP(-$G$7))</f>
        <v>0</v>
      </c>
      <c r="AN39" s="6" t="n">
        <f aca="false">AM39*$B$11*16/12*(1-$B$12)*SUPUESTOS_FE!$B$9</f>
        <v>0</v>
      </c>
      <c r="AO39" s="6" t="n">
        <f aca="false">Y39-AN39</f>
        <v>4612.90607714892</v>
      </c>
    </row>
    <row r="40" customFormat="false" ht="15" hidden="false" customHeight="false" outlineLevel="0" collapsed="false">
      <c r="A40" s="51" t="n">
        <v>2009</v>
      </c>
      <c r="B40" s="25" t="n">
        <f aca="false">SUPUESTOS_FE!$B$5*(1+$B$15)^(A40-2022)</f>
        <v>40281.3165662936</v>
      </c>
      <c r="C40" s="25" t="n">
        <f aca="false">IF(A40&gt;=$B$14,B40*$B$16*365/1000*$B$17,0)</f>
        <v>11909.1712428247</v>
      </c>
      <c r="D40" s="6" t="n">
        <f aca="false">C40*$B$5*$B$6*$B$9*$B$10</f>
        <v>327.442663321465</v>
      </c>
      <c r="E40" s="6" t="n">
        <f aca="false">D40+E39*EXP(-$B$7)</f>
        <v>2240.67239641562</v>
      </c>
      <c r="F40" s="6" t="n">
        <f aca="false">E39*(1-EXP(-$B$7))</f>
        <v>118.307519442443</v>
      </c>
      <c r="G40" s="6" t="n">
        <f aca="false">C40*$C$5*$C$6*$B$9*$B$10</f>
        <v>175.064817269523</v>
      </c>
      <c r="H40" s="6" t="n">
        <f aca="false">G40+H39*EXP(-$C$7)</f>
        <v>1241.25133804827</v>
      </c>
      <c r="I40" s="6" t="n">
        <f aca="false">H39*(1-EXP(-$C$7))</f>
        <v>54.6645518616651</v>
      </c>
      <c r="J40" s="6" t="n">
        <f aca="false">C40*$D$5*$D$6*$B$9*$B$10</f>
        <v>371.327959351274</v>
      </c>
      <c r="K40" s="6" t="n">
        <f aca="false">J40+K39*EXP(-$D$7)</f>
        <v>2729.73904806159</v>
      </c>
      <c r="L40" s="6" t="n">
        <f aca="false">K39*(1-EXP(-$D$7))</f>
        <v>96.2485823941813</v>
      </c>
      <c r="M40" s="6" t="n">
        <f aca="false">C40*$E$5*$E$6*$B$9*$B$10</f>
        <v>7.16932108818047</v>
      </c>
      <c r="N40" s="6" t="n">
        <f aca="false">M40+N39*EXP(-$E$7)</f>
        <v>56.7683845819997</v>
      </c>
      <c r="O40" s="6" t="n">
        <f aca="false">N39*(1-EXP(-$E$7))</f>
        <v>1.0019675466473</v>
      </c>
      <c r="P40" s="6" t="n">
        <f aca="false">C40*$F$5*$F$6*$B$9*$B$10</f>
        <v>14.5768256012174</v>
      </c>
      <c r="Q40" s="6" t="n">
        <f aca="false">P40+Q39*EXP(-$F$7)</f>
        <v>107.158453971372</v>
      </c>
      <c r="R40" s="6" t="n">
        <f aca="false">Q39*(1-EXP(-$F$7))</f>
        <v>3.778327929778</v>
      </c>
      <c r="S40" s="6" t="n">
        <f aca="false">C40*$G$5*$G$6*$B$9*$B$10</f>
        <v>134.62127172889</v>
      </c>
      <c r="T40" s="6" t="n">
        <f aca="false">S40+T39*EXP(-$G$7)</f>
        <v>989.639839617967</v>
      </c>
      <c r="U40" s="6" t="n">
        <f aca="false">T39*(1-EXP(-$G$7))</f>
        <v>34.8939697044203</v>
      </c>
      <c r="V40" s="6" t="n">
        <f aca="false">F40+I40+L40+O40+R40+U40</f>
        <v>308.894918879135</v>
      </c>
      <c r="W40" s="6" t="n">
        <f aca="false">V40*$B$11*16/12</f>
        <v>205.929945919423</v>
      </c>
      <c r="X40" s="6" t="n">
        <f aca="false">(W40-$B$13)*(1-$B$12)</f>
        <v>185.336951327481</v>
      </c>
      <c r="Y40" s="6" t="n">
        <f aca="false">X40*SUPUESTOS_FE!$B$9</f>
        <v>5189.43463716947</v>
      </c>
      <c r="Z40" s="25" t="n">
        <f aca="false">IF(A40&gt;=CRITERIOS!$B$16,C40,0)</f>
        <v>0</v>
      </c>
      <c r="AA40" s="6" t="n">
        <f aca="false">Z40*$B$5*$B$6*$B$9*$B$10</f>
        <v>0</v>
      </c>
      <c r="AB40" s="6" t="n">
        <f aca="false">AA40+AB39*EXP(-$B$7)</f>
        <v>0</v>
      </c>
      <c r="AC40" s="6" t="n">
        <f aca="false">Z40*$C$5*$C$6*$B$9*$B$10</f>
        <v>0</v>
      </c>
      <c r="AD40" s="6" t="n">
        <f aca="false">AC40+AD39*EXP(-$C$7)</f>
        <v>0</v>
      </c>
      <c r="AE40" s="6" t="n">
        <f aca="false">Z40*$D$5*$D$6*$B$9*$B$10</f>
        <v>0</v>
      </c>
      <c r="AF40" s="6" t="n">
        <f aca="false">AE40+AF39*EXP(-$D$7)</f>
        <v>0</v>
      </c>
      <c r="AG40" s="6" t="n">
        <f aca="false">Z40*$E$5*$E$6*$B$9*$B$10</f>
        <v>0</v>
      </c>
      <c r="AH40" s="6" t="n">
        <f aca="false">AG40+AH39*EXP(-$E$7)</f>
        <v>0</v>
      </c>
      <c r="AI40" s="6" t="n">
        <f aca="false">Z40*$F$5*$F$6*$B$9*$B$10</f>
        <v>0</v>
      </c>
      <c r="AJ40" s="6" t="n">
        <f aca="false">AI40+AJ39*EXP(-$F$7)</f>
        <v>0</v>
      </c>
      <c r="AK40" s="6" t="n">
        <f aca="false">Z40*$G$5*$G$6*$B$9*$B$10</f>
        <v>0</v>
      </c>
      <c r="AL40" s="6" t="n">
        <f aca="false">AK40+AL39*EXP(-$G$7)</f>
        <v>0</v>
      </c>
      <c r="AM40" s="6" t="n">
        <f aca="false">AB39*(1-EXP(-$B$7))+AD39*(1-EXP(-$C$7))+AF39*(1-EXP(-$D$7))+AH39*(1-EXP(-$E$7))+AJ39*(1-EXP(-$F$7))+AL39*(1-EXP(-$G$7))</f>
        <v>0</v>
      </c>
      <c r="AN40" s="6" t="n">
        <f aca="false">AM40*$B$11*16/12*(1-$B$12)*SUPUESTOS_FE!$B$9</f>
        <v>0</v>
      </c>
      <c r="AO40" s="6" t="n">
        <f aca="false">Y40-AN40</f>
        <v>5189.43463716947</v>
      </c>
    </row>
    <row r="41" customFormat="false" ht="15" hidden="false" customHeight="false" outlineLevel="0" collapsed="false">
      <c r="A41" s="51" t="n">
        <v>2010</v>
      </c>
      <c r="B41" s="25" t="n">
        <f aca="false">SUPUESTOS_FE!$B$5*(1+$B$15)^(A41-2022)</f>
        <v>40804.9736816554</v>
      </c>
      <c r="C41" s="25" t="n">
        <f aca="false">IF(A41&gt;=$B$14,B41*$B$16*365/1000*$B$17,0)</f>
        <v>12063.9904689814</v>
      </c>
      <c r="D41" s="6" t="n">
        <f aca="false">C41*$B$5*$B$6*$B$9*$B$10</f>
        <v>331.699417944644</v>
      </c>
      <c r="E41" s="6" t="n">
        <f aca="false">D41+E40*EXP(-$B$7)</f>
        <v>2441.8852122701</v>
      </c>
      <c r="F41" s="6" t="n">
        <f aca="false">E40*(1-EXP(-$B$7))</f>
        <v>130.486602090163</v>
      </c>
      <c r="G41" s="6" t="n">
        <f aca="false">C41*$C$5*$C$6*$B$9*$B$10</f>
        <v>177.340659894027</v>
      </c>
      <c r="H41" s="6" t="n">
        <f aca="false">G41+H40*EXP(-$C$7)</f>
        <v>1358.05545584643</v>
      </c>
      <c r="I41" s="6" t="n">
        <f aca="false">H40*(1-EXP(-$C$7))</f>
        <v>60.5365420958731</v>
      </c>
      <c r="J41" s="6" t="n">
        <f aca="false">C41*$D$5*$D$6*$B$9*$B$10</f>
        <v>376.155222822841</v>
      </c>
      <c r="K41" s="6" t="n">
        <f aca="false">J41+K40*EXP(-$D$7)</f>
        <v>2998.85967184213</v>
      </c>
      <c r="L41" s="6" t="n">
        <f aca="false">K40*(1-EXP(-$D$7))</f>
        <v>107.034599042298</v>
      </c>
      <c r="M41" s="6" t="n">
        <f aca="false">C41*$E$5*$E$6*$B$9*$B$10</f>
        <v>7.26252226232682</v>
      </c>
      <c r="N41" s="6" t="n">
        <f aca="false">M41+N40*EXP(-$E$7)</f>
        <v>62.9068175153706</v>
      </c>
      <c r="O41" s="6" t="n">
        <f aca="false">N40*(1-EXP(-$E$7))</f>
        <v>1.12408932895593</v>
      </c>
      <c r="P41" s="6" t="n">
        <f aca="false">C41*$F$5*$F$6*$B$9*$B$10</f>
        <v>14.7663243340333</v>
      </c>
      <c r="Q41" s="6" t="n">
        <f aca="false">P41+Q40*EXP(-$F$7)</f>
        <v>117.723035225618</v>
      </c>
      <c r="R41" s="6" t="n">
        <f aca="false">Q40*(1-EXP(-$F$7))</f>
        <v>4.20174307978747</v>
      </c>
      <c r="S41" s="6" t="n">
        <f aca="false">C41*$G$5*$G$6*$B$9*$B$10</f>
        <v>136.371348261366</v>
      </c>
      <c r="T41" s="6" t="n">
        <f aca="false">S41+T40*EXP(-$G$7)</f>
        <v>1087.20685473071</v>
      </c>
      <c r="U41" s="6" t="n">
        <f aca="false">T40*(1-EXP(-$G$7))</f>
        <v>38.8043331486254</v>
      </c>
      <c r="V41" s="6" t="n">
        <f aca="false">F41+I41+L41+O41+R41+U41</f>
        <v>342.187908785703</v>
      </c>
      <c r="W41" s="6" t="n">
        <f aca="false">V41*$B$11*16/12</f>
        <v>228.125272523802</v>
      </c>
      <c r="X41" s="6" t="n">
        <f aca="false">(W41-$B$13)*(1-$B$12)</f>
        <v>205.312745271422</v>
      </c>
      <c r="Y41" s="6" t="n">
        <f aca="false">X41*SUPUESTOS_FE!$B$9</f>
        <v>5748.75686759982</v>
      </c>
      <c r="Z41" s="25" t="n">
        <f aca="false">IF(A41&gt;=CRITERIOS!$B$16,C41,0)</f>
        <v>0</v>
      </c>
      <c r="AA41" s="6" t="n">
        <f aca="false">Z41*$B$5*$B$6*$B$9*$B$10</f>
        <v>0</v>
      </c>
      <c r="AB41" s="6" t="n">
        <f aca="false">AA41+AB40*EXP(-$B$7)</f>
        <v>0</v>
      </c>
      <c r="AC41" s="6" t="n">
        <f aca="false">Z41*$C$5*$C$6*$B$9*$B$10</f>
        <v>0</v>
      </c>
      <c r="AD41" s="6" t="n">
        <f aca="false">AC41+AD40*EXP(-$C$7)</f>
        <v>0</v>
      </c>
      <c r="AE41" s="6" t="n">
        <f aca="false">Z41*$D$5*$D$6*$B$9*$B$10</f>
        <v>0</v>
      </c>
      <c r="AF41" s="6" t="n">
        <f aca="false">AE41+AF40*EXP(-$D$7)</f>
        <v>0</v>
      </c>
      <c r="AG41" s="6" t="n">
        <f aca="false">Z41*$E$5*$E$6*$B$9*$B$10</f>
        <v>0</v>
      </c>
      <c r="AH41" s="6" t="n">
        <f aca="false">AG41+AH40*EXP(-$E$7)</f>
        <v>0</v>
      </c>
      <c r="AI41" s="6" t="n">
        <f aca="false">Z41*$F$5*$F$6*$B$9*$B$10</f>
        <v>0</v>
      </c>
      <c r="AJ41" s="6" t="n">
        <f aca="false">AI41+AJ40*EXP(-$F$7)</f>
        <v>0</v>
      </c>
      <c r="AK41" s="6" t="n">
        <f aca="false">Z41*$G$5*$G$6*$B$9*$B$10</f>
        <v>0</v>
      </c>
      <c r="AL41" s="6" t="n">
        <f aca="false">AK41+AL40*EXP(-$G$7)</f>
        <v>0</v>
      </c>
      <c r="AM41" s="6" t="n">
        <f aca="false">AB40*(1-EXP(-$B$7))+AD40*(1-EXP(-$C$7))+AF40*(1-EXP(-$D$7))+AH40*(1-EXP(-$E$7))+AJ40*(1-EXP(-$F$7))+AL40*(1-EXP(-$G$7))</f>
        <v>0</v>
      </c>
      <c r="AN41" s="6" t="n">
        <f aca="false">AM41*$B$11*16/12*(1-$B$12)*SUPUESTOS_FE!$B$9</f>
        <v>0</v>
      </c>
      <c r="AO41" s="6" t="n">
        <f aca="false">Y41-AN41</f>
        <v>5748.75686759982</v>
      </c>
    </row>
    <row r="42" customFormat="false" ht="15" hidden="false" customHeight="false" outlineLevel="0" collapsed="false">
      <c r="A42" s="51" t="n">
        <v>2011</v>
      </c>
      <c r="B42" s="25" t="n">
        <f aca="false">SUPUESTOS_FE!$B$5*(1+$B$15)^(A42-2022)</f>
        <v>41335.4383395169</v>
      </c>
      <c r="C42" s="25" t="n">
        <f aca="false">IF(A42&gt;=$B$14,B42*$B$16*365/1000*$B$17,0)</f>
        <v>12220.8223450782</v>
      </c>
      <c r="D42" s="6" t="n">
        <f aca="false">C42*$B$5*$B$6*$B$9*$B$10</f>
        <v>336.011510377925</v>
      </c>
      <c r="E42" s="6" t="n">
        <f aca="false">D42+E41*EXP(-$B$7)</f>
        <v>2635.69239837775</v>
      </c>
      <c r="F42" s="6" t="n">
        <f aca="false">E41*(1-EXP(-$B$7))</f>
        <v>142.204324270275</v>
      </c>
      <c r="G42" s="6" t="n">
        <f aca="false">C42*$C$5*$C$6*$B$9*$B$10</f>
        <v>179.646088472649</v>
      </c>
      <c r="H42" s="6" t="n">
        <f aca="false">G42+H41*EXP(-$C$7)</f>
        <v>1471.4683981775</v>
      </c>
      <c r="I42" s="6" t="n">
        <f aca="false">H41*(1-EXP(-$C$7))</f>
        <v>66.2331461415755</v>
      </c>
      <c r="J42" s="6" t="n">
        <f aca="false">C42*$D$5*$D$6*$B$9*$B$10</f>
        <v>381.045240719538</v>
      </c>
      <c r="K42" s="6" t="n">
        <f aca="false">J42+K41*EXP(-$D$7)</f>
        <v>3262.31794292526</v>
      </c>
      <c r="L42" s="6" t="n">
        <f aca="false">K41*(1-EXP(-$D$7))</f>
        <v>117.58696963641</v>
      </c>
      <c r="M42" s="6" t="n">
        <f aca="false">C42*$E$5*$E$6*$B$9*$B$10</f>
        <v>7.35693505173706</v>
      </c>
      <c r="N42" s="6" t="n">
        <f aca="false">M42+N41*EXP(-$E$7)</f>
        <v>69.0181141222535</v>
      </c>
      <c r="O42" s="6" t="n">
        <f aca="false">N41*(1-EXP(-$E$7))</f>
        <v>1.24563844485418</v>
      </c>
      <c r="P42" s="6" t="n">
        <f aca="false">C42*$F$5*$F$6*$B$9*$B$10</f>
        <v>14.9582865503757</v>
      </c>
      <c r="Q42" s="6" t="n">
        <f aca="false">P42+Q41*EXP(-$F$7)</f>
        <v>128.065335540106</v>
      </c>
      <c r="R42" s="6" t="n">
        <f aca="false">Q41*(1-EXP(-$F$7))</f>
        <v>4.6159862358873</v>
      </c>
      <c r="S42" s="6" t="n">
        <f aca="false">C42*$G$5*$G$6*$B$9*$B$10</f>
        <v>138.144175788764</v>
      </c>
      <c r="T42" s="6" t="n">
        <f aca="false">S42+T41*EXP(-$G$7)</f>
        <v>1182.72103998804</v>
      </c>
      <c r="U42" s="6" t="n">
        <f aca="false">T41*(1-EXP(-$G$7))</f>
        <v>42.6299905314298</v>
      </c>
      <c r="V42" s="6" t="n">
        <f aca="false">F42+I42+L42+O42+R42+U42</f>
        <v>374.516055260432</v>
      </c>
      <c r="W42" s="6" t="n">
        <f aca="false">V42*$B$11*16/12</f>
        <v>249.677370173621</v>
      </c>
      <c r="X42" s="6" t="n">
        <f aca="false">(W42-$B$13)*(1-$B$12)</f>
        <v>224.709633156259</v>
      </c>
      <c r="Y42" s="6" t="n">
        <f aca="false">X42*SUPUESTOS_FE!$B$9</f>
        <v>6291.86972837526</v>
      </c>
      <c r="Z42" s="25" t="n">
        <f aca="false">IF(A42&gt;=CRITERIOS!$B$16,C42,0)</f>
        <v>0</v>
      </c>
      <c r="AA42" s="6" t="n">
        <f aca="false">Z42*$B$5*$B$6*$B$9*$B$10</f>
        <v>0</v>
      </c>
      <c r="AB42" s="6" t="n">
        <f aca="false">AA42+AB41*EXP(-$B$7)</f>
        <v>0</v>
      </c>
      <c r="AC42" s="6" t="n">
        <f aca="false">Z42*$C$5*$C$6*$B$9*$B$10</f>
        <v>0</v>
      </c>
      <c r="AD42" s="6" t="n">
        <f aca="false">AC42+AD41*EXP(-$C$7)</f>
        <v>0</v>
      </c>
      <c r="AE42" s="6" t="n">
        <f aca="false">Z42*$D$5*$D$6*$B$9*$B$10</f>
        <v>0</v>
      </c>
      <c r="AF42" s="6" t="n">
        <f aca="false">AE42+AF41*EXP(-$D$7)</f>
        <v>0</v>
      </c>
      <c r="AG42" s="6" t="n">
        <f aca="false">Z42*$E$5*$E$6*$B$9*$B$10</f>
        <v>0</v>
      </c>
      <c r="AH42" s="6" t="n">
        <f aca="false">AG42+AH41*EXP(-$E$7)</f>
        <v>0</v>
      </c>
      <c r="AI42" s="6" t="n">
        <f aca="false">Z42*$F$5*$F$6*$B$9*$B$10</f>
        <v>0</v>
      </c>
      <c r="AJ42" s="6" t="n">
        <f aca="false">AI42+AJ41*EXP(-$F$7)</f>
        <v>0</v>
      </c>
      <c r="AK42" s="6" t="n">
        <f aca="false">Z42*$G$5*$G$6*$B$9*$B$10</f>
        <v>0</v>
      </c>
      <c r="AL42" s="6" t="n">
        <f aca="false">AK42+AL41*EXP(-$G$7)</f>
        <v>0</v>
      </c>
      <c r="AM42" s="6" t="n">
        <f aca="false">AB41*(1-EXP(-$B$7))+AD41*(1-EXP(-$C$7))+AF41*(1-EXP(-$D$7))+AH41*(1-EXP(-$E$7))+AJ41*(1-EXP(-$F$7))+AL41*(1-EXP(-$G$7))</f>
        <v>0</v>
      </c>
      <c r="AN42" s="6" t="n">
        <f aca="false">AM42*$B$11*16/12*(1-$B$12)*SUPUESTOS_FE!$B$9</f>
        <v>0</v>
      </c>
      <c r="AO42" s="6" t="n">
        <f aca="false">Y42-AN42</f>
        <v>6291.86972837526</v>
      </c>
    </row>
    <row r="43" customFormat="false" ht="15" hidden="false" customHeight="false" outlineLevel="0" collapsed="false">
      <c r="A43" s="51" t="n">
        <v>2012</v>
      </c>
      <c r="B43" s="25" t="n">
        <f aca="false">SUPUESTOS_FE!$B$5*(1+$B$15)^(A43-2022)</f>
        <v>41872.7990379306</v>
      </c>
      <c r="C43" s="25" t="n">
        <f aca="false">IF(A43&gt;=$B$14,B43*$B$16*365/1000*$B$17,0)</f>
        <v>12379.6930355642</v>
      </c>
      <c r="D43" s="6" t="n">
        <f aca="false">C43*$B$5*$B$6*$B$9*$B$10</f>
        <v>340.379660012838</v>
      </c>
      <c r="E43" s="6" t="n">
        <f aca="false">D43+E42*EXP(-$B$7)</f>
        <v>2822.58128224261</v>
      </c>
      <c r="F43" s="6" t="n">
        <f aca="false">E42*(1-EXP(-$B$7))</f>
        <v>153.490776147979</v>
      </c>
      <c r="G43" s="6" t="n">
        <f aca="false">C43*$C$5*$C$6*$B$9*$B$10</f>
        <v>181.981487622794</v>
      </c>
      <c r="H43" s="6" t="n">
        <f aca="false">G43+H42*EXP(-$C$7)</f>
        <v>1581.68552519217</v>
      </c>
      <c r="I43" s="6" t="n">
        <f aca="false">H42*(1-EXP(-$C$7))</f>
        <v>71.7643606081293</v>
      </c>
      <c r="J43" s="6" t="n">
        <f aca="false">C43*$D$5*$D$6*$B$9*$B$10</f>
        <v>385.998828848892</v>
      </c>
      <c r="K43" s="6" t="n">
        <f aca="false">J43+K42*EXP(-$D$7)</f>
        <v>3520.39945556861</v>
      </c>
      <c r="L43" s="6" t="n">
        <f aca="false">K42*(1-EXP(-$D$7))</f>
        <v>127.917316205539</v>
      </c>
      <c r="M43" s="6" t="n">
        <f aca="false">C43*$E$5*$E$6*$B$9*$B$10</f>
        <v>7.45257520740965</v>
      </c>
      <c r="N43" s="6" t="n">
        <f aca="false">M43+N42*EXP(-$E$7)</f>
        <v>75.1040391041767</v>
      </c>
      <c r="O43" s="6" t="n">
        <f aca="false">N42*(1-EXP(-$E$7))</f>
        <v>1.36665022548639</v>
      </c>
      <c r="P43" s="6" t="n">
        <f aca="false">C43*$F$5*$F$6*$B$9*$B$10</f>
        <v>15.1527442755306</v>
      </c>
      <c r="Q43" s="6" t="n">
        <f aca="false">P43+Q42*EXP(-$F$7)</f>
        <v>138.196566183964</v>
      </c>
      <c r="R43" s="6" t="n">
        <f aca="false">Q42*(1-EXP(-$F$7))</f>
        <v>5.02151363167349</v>
      </c>
      <c r="S43" s="6" t="n">
        <f aca="false">C43*$G$5*$G$6*$B$9*$B$10</f>
        <v>139.940050074018</v>
      </c>
      <c r="T43" s="6" t="n">
        <f aca="false">S43+T42*EXP(-$G$7)</f>
        <v>1276.28593475778</v>
      </c>
      <c r="U43" s="6" t="n">
        <f aca="false">T42*(1-EXP(-$G$7))</f>
        <v>46.3751553042787</v>
      </c>
      <c r="V43" s="6" t="n">
        <f aca="false">F43+I43+L43+O43+R43+U43</f>
        <v>405.935772123085</v>
      </c>
      <c r="W43" s="6" t="n">
        <f aca="false">V43*$B$11*16/12</f>
        <v>270.623848082057</v>
      </c>
      <c r="X43" s="6" t="n">
        <f aca="false">(W43-$B$13)*(1-$B$12)</f>
        <v>243.561463273851</v>
      </c>
      <c r="Y43" s="6" t="n">
        <f aca="false">X43*SUPUESTOS_FE!$B$9</f>
        <v>6819.72097166783</v>
      </c>
      <c r="Z43" s="25" t="n">
        <f aca="false">IF(A43&gt;=CRITERIOS!$B$16,C43,0)</f>
        <v>0</v>
      </c>
      <c r="AA43" s="6" t="n">
        <f aca="false">Z43*$B$5*$B$6*$B$9*$B$10</f>
        <v>0</v>
      </c>
      <c r="AB43" s="6" t="n">
        <f aca="false">AA43+AB42*EXP(-$B$7)</f>
        <v>0</v>
      </c>
      <c r="AC43" s="6" t="n">
        <f aca="false">Z43*$C$5*$C$6*$B$9*$B$10</f>
        <v>0</v>
      </c>
      <c r="AD43" s="6" t="n">
        <f aca="false">AC43+AD42*EXP(-$C$7)</f>
        <v>0</v>
      </c>
      <c r="AE43" s="6" t="n">
        <f aca="false">Z43*$D$5*$D$6*$B$9*$B$10</f>
        <v>0</v>
      </c>
      <c r="AF43" s="6" t="n">
        <f aca="false">AE43+AF42*EXP(-$D$7)</f>
        <v>0</v>
      </c>
      <c r="AG43" s="6" t="n">
        <f aca="false">Z43*$E$5*$E$6*$B$9*$B$10</f>
        <v>0</v>
      </c>
      <c r="AH43" s="6" t="n">
        <f aca="false">AG43+AH42*EXP(-$E$7)</f>
        <v>0</v>
      </c>
      <c r="AI43" s="6" t="n">
        <f aca="false">Z43*$F$5*$F$6*$B$9*$B$10</f>
        <v>0</v>
      </c>
      <c r="AJ43" s="6" t="n">
        <f aca="false">AI43+AJ42*EXP(-$F$7)</f>
        <v>0</v>
      </c>
      <c r="AK43" s="6" t="n">
        <f aca="false">Z43*$G$5*$G$6*$B$9*$B$10</f>
        <v>0</v>
      </c>
      <c r="AL43" s="6" t="n">
        <f aca="false">AK43+AL42*EXP(-$G$7)</f>
        <v>0</v>
      </c>
      <c r="AM43" s="6" t="n">
        <f aca="false">AB42*(1-EXP(-$B$7))+AD42*(1-EXP(-$C$7))+AF42*(1-EXP(-$D$7))+AH42*(1-EXP(-$E$7))+AJ42*(1-EXP(-$F$7))+AL42*(1-EXP(-$G$7))</f>
        <v>0</v>
      </c>
      <c r="AN43" s="6" t="n">
        <f aca="false">AM43*$B$11*16/12*(1-$B$12)*SUPUESTOS_FE!$B$9</f>
        <v>0</v>
      </c>
      <c r="AO43" s="6" t="n">
        <f aca="false">Y43-AN43</f>
        <v>6819.72097166783</v>
      </c>
    </row>
    <row r="44" customFormat="false" ht="15" hidden="false" customHeight="false" outlineLevel="0" collapsed="false">
      <c r="A44" s="51" t="n">
        <v>2013</v>
      </c>
      <c r="B44" s="25" t="n">
        <f aca="false">SUPUESTOS_FE!$B$5*(1+$B$15)^(A44-2022)</f>
        <v>42417.1454254237</v>
      </c>
      <c r="C44" s="25" t="n">
        <f aca="false">IF(A44&gt;=$B$14,B44*$B$16*365/1000*$B$17,0)</f>
        <v>12540.6290450265</v>
      </c>
      <c r="D44" s="6" t="n">
        <f aca="false">C44*$B$5*$B$6*$B$9*$B$10</f>
        <v>344.804595593004</v>
      </c>
      <c r="E44" s="6" t="n">
        <f aca="false">D44+E43*EXP(-$B$7)</f>
        <v>3003.01154036785</v>
      </c>
      <c r="F44" s="6" t="n">
        <f aca="false">E43*(1-EXP(-$B$7))</f>
        <v>164.374337467768</v>
      </c>
      <c r="G44" s="6" t="n">
        <f aca="false">C44*$C$5*$C$6*$B$9*$B$10</f>
        <v>184.34724696189</v>
      </c>
      <c r="H44" s="6" t="n">
        <f aca="false">G44+H43*EXP(-$C$7)</f>
        <v>1688.89305883154</v>
      </c>
      <c r="I44" s="6" t="n">
        <f aca="false">H43*(1-EXP(-$C$7))</f>
        <v>77.1397133225124</v>
      </c>
      <c r="J44" s="6" t="n">
        <f aca="false">C44*$D$5*$D$6*$B$9*$B$10</f>
        <v>391.016813623927</v>
      </c>
      <c r="K44" s="6" t="n">
        <f aca="false">J44+K43*EXP(-$D$7)</f>
        <v>3773.37943213184</v>
      </c>
      <c r="L44" s="6" t="n">
        <f aca="false">K43*(1-EXP(-$D$7))</f>
        <v>138.036837060701</v>
      </c>
      <c r="M44" s="6" t="n">
        <f aca="false">C44*$E$5*$E$6*$B$9*$B$10</f>
        <v>7.54945868510597</v>
      </c>
      <c r="N44" s="6" t="n">
        <f aca="false">M44+N43*EXP(-$E$7)</f>
        <v>81.1663381749987</v>
      </c>
      <c r="O44" s="6" t="n">
        <f aca="false">N43*(1-EXP(-$E$7))</f>
        <v>1.48715961428403</v>
      </c>
      <c r="P44" s="6" t="n">
        <f aca="false">C44*$F$5*$F$6*$B$9*$B$10</f>
        <v>15.3497299511125</v>
      </c>
      <c r="Q44" s="6" t="n">
        <f aca="false">P44+Q43*EXP(-$F$7)</f>
        <v>148.12753126778</v>
      </c>
      <c r="R44" s="6" t="n">
        <f aca="false">Q43*(1-EXP(-$F$7))</f>
        <v>5.4187648672963</v>
      </c>
      <c r="S44" s="6" t="n">
        <f aca="false">C44*$G$5*$G$6*$B$9*$B$10</f>
        <v>141.75927072498</v>
      </c>
      <c r="T44" s="6" t="n">
        <f aca="false">S44+T43*EXP(-$G$7)</f>
        <v>1368.00131817891</v>
      </c>
      <c r="U44" s="6" t="n">
        <f aca="false">T43*(1-EXP(-$G$7))</f>
        <v>50.043887303854</v>
      </c>
      <c r="V44" s="6" t="n">
        <f aca="false">F44+I44+L44+O44+R44+U44</f>
        <v>436.500699636416</v>
      </c>
      <c r="W44" s="6" t="n">
        <f aca="false">V44*$B$11*16/12</f>
        <v>291.000466424277</v>
      </c>
      <c r="X44" s="6" t="n">
        <f aca="false">(W44-$B$13)*(1-$B$12)</f>
        <v>261.90041978185</v>
      </c>
      <c r="Y44" s="6" t="n">
        <f aca="false">X44*SUPUESTOS_FE!$B$9</f>
        <v>7333.21175389179</v>
      </c>
      <c r="Z44" s="25" t="n">
        <f aca="false">IF(A44&gt;=CRITERIOS!$B$16,C44,0)</f>
        <v>0</v>
      </c>
      <c r="AA44" s="6" t="n">
        <f aca="false">Z44*$B$5*$B$6*$B$9*$B$10</f>
        <v>0</v>
      </c>
      <c r="AB44" s="6" t="n">
        <f aca="false">AA44+AB43*EXP(-$B$7)</f>
        <v>0</v>
      </c>
      <c r="AC44" s="6" t="n">
        <f aca="false">Z44*$C$5*$C$6*$B$9*$B$10</f>
        <v>0</v>
      </c>
      <c r="AD44" s="6" t="n">
        <f aca="false">AC44+AD43*EXP(-$C$7)</f>
        <v>0</v>
      </c>
      <c r="AE44" s="6" t="n">
        <f aca="false">Z44*$D$5*$D$6*$B$9*$B$10</f>
        <v>0</v>
      </c>
      <c r="AF44" s="6" t="n">
        <f aca="false">AE44+AF43*EXP(-$D$7)</f>
        <v>0</v>
      </c>
      <c r="AG44" s="6" t="n">
        <f aca="false">Z44*$E$5*$E$6*$B$9*$B$10</f>
        <v>0</v>
      </c>
      <c r="AH44" s="6" t="n">
        <f aca="false">AG44+AH43*EXP(-$E$7)</f>
        <v>0</v>
      </c>
      <c r="AI44" s="6" t="n">
        <f aca="false">Z44*$F$5*$F$6*$B$9*$B$10</f>
        <v>0</v>
      </c>
      <c r="AJ44" s="6" t="n">
        <f aca="false">AI44+AJ43*EXP(-$F$7)</f>
        <v>0</v>
      </c>
      <c r="AK44" s="6" t="n">
        <f aca="false">Z44*$G$5*$G$6*$B$9*$B$10</f>
        <v>0</v>
      </c>
      <c r="AL44" s="6" t="n">
        <f aca="false">AK44+AL43*EXP(-$G$7)</f>
        <v>0</v>
      </c>
      <c r="AM44" s="6" t="n">
        <f aca="false">AB43*(1-EXP(-$B$7))+AD43*(1-EXP(-$C$7))+AF43*(1-EXP(-$D$7))+AH43*(1-EXP(-$E$7))+AJ43*(1-EXP(-$F$7))+AL43*(1-EXP(-$G$7))</f>
        <v>0</v>
      </c>
      <c r="AN44" s="6" t="n">
        <f aca="false">AM44*$B$11*16/12*(1-$B$12)*SUPUESTOS_FE!$B$9</f>
        <v>0</v>
      </c>
      <c r="AO44" s="6" t="n">
        <f aca="false">Y44-AN44</f>
        <v>7333.21175389179</v>
      </c>
    </row>
    <row r="45" customFormat="false" ht="15" hidden="false" customHeight="false" outlineLevel="0" collapsed="false">
      <c r="A45" s="51" t="n">
        <v>2014</v>
      </c>
      <c r="B45" s="25" t="n">
        <f aca="false">SUPUESTOS_FE!$B$5*(1+$B$15)^(A45-2022)</f>
        <v>42968.5683159542</v>
      </c>
      <c r="C45" s="25" t="n">
        <f aca="false">IF(A45&gt;=$B$14,B45*$B$16*365/1000*$B$17,0)</f>
        <v>12703.6572226119</v>
      </c>
      <c r="D45" s="6" t="n">
        <f aca="false">C45*$B$5*$B$6*$B$9*$B$10</f>
        <v>349.287055335713</v>
      </c>
      <c r="E45" s="6" t="n">
        <f aca="false">D45+E44*EXP(-$B$7)</f>
        <v>3177.41681799836</v>
      </c>
      <c r="F45" s="6" t="n">
        <f aca="false">E44*(1-EXP(-$B$7))</f>
        <v>174.881777705205</v>
      </c>
      <c r="G45" s="6" t="n">
        <f aca="false">C45*$C$5*$C$6*$B$9*$B$10</f>
        <v>186.743761172395</v>
      </c>
      <c r="H45" s="6" t="n">
        <f aca="false">G45+H44*EXP(-$C$7)</f>
        <v>1793.26853356798</v>
      </c>
      <c r="I45" s="6" t="n">
        <f aca="false">H44*(1-EXP(-$C$7))</f>
        <v>82.3682864359639</v>
      </c>
      <c r="J45" s="6" t="n">
        <f aca="false">C45*$D$5*$D$6*$B$9*$B$10</f>
        <v>396.100032201038</v>
      </c>
      <c r="K45" s="6" t="n">
        <f aca="false">J45+K44*EXP(-$D$7)</f>
        <v>4021.5231405079</v>
      </c>
      <c r="L45" s="6" t="n">
        <f aca="false">K44*(1-EXP(-$D$7))</f>
        <v>147.956323824978</v>
      </c>
      <c r="M45" s="6" t="n">
        <f aca="false">C45*$E$5*$E$6*$B$9*$B$10</f>
        <v>7.64760164801235</v>
      </c>
      <c r="N45" s="6" t="n">
        <f aca="false">M45+N44*EXP(-$E$7)</f>
        <v>87.2067386443135</v>
      </c>
      <c r="O45" s="6" t="n">
        <f aca="false">N44*(1-EXP(-$E$7))</f>
        <v>1.60720117869753</v>
      </c>
      <c r="P45" s="6" t="n">
        <f aca="false">C45*$F$5*$F$6*$B$9*$B$10</f>
        <v>15.5492764404769</v>
      </c>
      <c r="Q45" s="6" t="n">
        <f aca="false">P45+Q44*EXP(-$F$7)</f>
        <v>157.868644130265</v>
      </c>
      <c r="R45" s="6" t="n">
        <f aca="false">Q44*(1-EXP(-$F$7))</f>
        <v>5.80816357799143</v>
      </c>
      <c r="S45" s="6" t="n">
        <f aca="false">C45*$G$5*$G$6*$B$9*$B$10</f>
        <v>143.602141244405</v>
      </c>
      <c r="T45" s="6" t="n">
        <f aca="false">S45+T44*EXP(-$G$7)</f>
        <v>1457.96336049716</v>
      </c>
      <c r="U45" s="6" t="n">
        <f aca="false">T44*(1-EXP(-$G$7))</f>
        <v>53.6400989261561</v>
      </c>
      <c r="V45" s="6" t="n">
        <f aca="false">F45+I45+L45+O45+R45+U45</f>
        <v>466.261851648992</v>
      </c>
      <c r="W45" s="6" t="n">
        <f aca="false">V45*$B$11*16/12</f>
        <v>310.841234432661</v>
      </c>
      <c r="X45" s="6" t="n">
        <f aca="false">(W45-$B$13)*(1-$B$12)</f>
        <v>279.757110989395</v>
      </c>
      <c r="Y45" s="6" t="n">
        <f aca="false">X45*SUPUESTOS_FE!$B$9</f>
        <v>7833.19910770307</v>
      </c>
      <c r="Z45" s="25" t="n">
        <f aca="false">IF(A45&gt;=CRITERIOS!$B$16,C45,0)</f>
        <v>0</v>
      </c>
      <c r="AA45" s="6" t="n">
        <f aca="false">Z45*$B$5*$B$6*$B$9*$B$10</f>
        <v>0</v>
      </c>
      <c r="AB45" s="6" t="n">
        <f aca="false">AA45+AB44*EXP(-$B$7)</f>
        <v>0</v>
      </c>
      <c r="AC45" s="6" t="n">
        <f aca="false">Z45*$C$5*$C$6*$B$9*$B$10</f>
        <v>0</v>
      </c>
      <c r="AD45" s="6" t="n">
        <f aca="false">AC45+AD44*EXP(-$C$7)</f>
        <v>0</v>
      </c>
      <c r="AE45" s="6" t="n">
        <f aca="false">Z45*$D$5*$D$6*$B$9*$B$10</f>
        <v>0</v>
      </c>
      <c r="AF45" s="6" t="n">
        <f aca="false">AE45+AF44*EXP(-$D$7)</f>
        <v>0</v>
      </c>
      <c r="AG45" s="6" t="n">
        <f aca="false">Z45*$E$5*$E$6*$B$9*$B$10</f>
        <v>0</v>
      </c>
      <c r="AH45" s="6" t="n">
        <f aca="false">AG45+AH44*EXP(-$E$7)</f>
        <v>0</v>
      </c>
      <c r="AI45" s="6" t="n">
        <f aca="false">Z45*$F$5*$F$6*$B$9*$B$10</f>
        <v>0</v>
      </c>
      <c r="AJ45" s="6" t="n">
        <f aca="false">AI45+AJ44*EXP(-$F$7)</f>
        <v>0</v>
      </c>
      <c r="AK45" s="6" t="n">
        <f aca="false">Z45*$G$5*$G$6*$B$9*$B$10</f>
        <v>0</v>
      </c>
      <c r="AL45" s="6" t="n">
        <f aca="false">AK45+AL44*EXP(-$G$7)</f>
        <v>0</v>
      </c>
      <c r="AM45" s="6" t="n">
        <f aca="false">AB44*(1-EXP(-$B$7))+AD44*(1-EXP(-$C$7))+AF44*(1-EXP(-$D$7))+AH44*(1-EXP(-$E$7))+AJ44*(1-EXP(-$F$7))+AL44*(1-EXP(-$G$7))</f>
        <v>0</v>
      </c>
      <c r="AN45" s="6" t="n">
        <f aca="false">AM45*$B$11*16/12*(1-$B$12)*SUPUESTOS_FE!$B$9</f>
        <v>0</v>
      </c>
      <c r="AO45" s="6" t="n">
        <f aca="false">Y45-AN45</f>
        <v>7833.19910770307</v>
      </c>
    </row>
    <row r="46" customFormat="false" ht="15" hidden="false" customHeight="false" outlineLevel="0" collapsed="false">
      <c r="A46" s="51" t="n">
        <v>2015</v>
      </c>
      <c r="B46" s="25" t="n">
        <f aca="false">SUPUESTOS_FE!$B$5*(1+$B$15)^(A46-2022)</f>
        <v>43527.1597040616</v>
      </c>
      <c r="C46" s="25" t="n">
        <f aca="false">IF(A46&gt;=$B$14,B46*$B$16*365/1000*$B$17,0)</f>
        <v>12868.8047665058</v>
      </c>
      <c r="D46" s="6" t="n">
        <f aca="false">C46*$B$5*$B$6*$B$9*$B$10</f>
        <v>353.827787055078</v>
      </c>
      <c r="E46" s="6" t="n">
        <f aca="false">D46+E45*EXP(-$B$7)</f>
        <v>3346.20625466005</v>
      </c>
      <c r="F46" s="6" t="n">
        <f aca="false">E45*(1-EXP(-$B$7))</f>
        <v>185.038350393387</v>
      </c>
      <c r="G46" s="6" t="n">
        <f aca="false">C46*$C$5*$C$6*$B$9*$B$10</f>
        <v>189.171430067636</v>
      </c>
      <c r="H46" s="6" t="n">
        <f aca="false">G46+H45*EXP(-$C$7)</f>
        <v>1894.98122522874</v>
      </c>
      <c r="I46" s="6" t="n">
        <f aca="false">H45*(1-EXP(-$C$7))</f>
        <v>87.4587384068708</v>
      </c>
      <c r="J46" s="6" t="n">
        <f aca="false">C46*$D$5*$D$6*$B$9*$B$10</f>
        <v>401.249332619652</v>
      </c>
      <c r="K46" s="6" t="n">
        <f aca="false">J46+K45*EXP(-$D$7)</f>
        <v>4265.08629532633</v>
      </c>
      <c r="L46" s="6" t="n">
        <f aca="false">K45*(1-EXP(-$D$7))</f>
        <v>157.686177801225</v>
      </c>
      <c r="M46" s="6" t="n">
        <f aca="false">C46*$E$5*$E$6*$B$9*$B$10</f>
        <v>7.74702046943651</v>
      </c>
      <c r="N46" s="6" t="n">
        <f aca="false">M46+N45*EXP(-$E$7)</f>
        <v>93.2269499920015</v>
      </c>
      <c r="O46" s="6" t="n">
        <f aca="false">N45*(1-EXP(-$E$7))</f>
        <v>1.72680912174846</v>
      </c>
      <c r="P46" s="6" t="n">
        <f aca="false">C46*$F$5*$F$6*$B$9*$B$10</f>
        <v>15.7514170342031</v>
      </c>
      <c r="Q46" s="6" t="n">
        <f aca="false">P46+Q45*EXP(-$F$7)</f>
        <v>167.429943087858</v>
      </c>
      <c r="R46" s="6" t="n">
        <f aca="false">Q45*(1-EXP(-$F$7))</f>
        <v>6.19011807661</v>
      </c>
      <c r="S46" s="6" t="n">
        <f aca="false">C46*$G$5*$G$6*$B$9*$B$10</f>
        <v>145.468969080582</v>
      </c>
      <c r="T46" s="6" t="n">
        <f aca="false">S46+T45*EXP(-$G$7)</f>
        <v>1546.26476851728</v>
      </c>
      <c r="U46" s="6" t="n">
        <f aca="false">T45*(1-EXP(-$G$7))</f>
        <v>57.1675610604571</v>
      </c>
      <c r="V46" s="6" t="n">
        <f aca="false">F46+I46+L46+O46+R46+U46</f>
        <v>495.267754860298</v>
      </c>
      <c r="W46" s="6" t="n">
        <f aca="false">V46*$B$11*16/12</f>
        <v>330.178503240199</v>
      </c>
      <c r="X46" s="6" t="n">
        <f aca="false">(W46-$B$13)*(1-$B$12)</f>
        <v>297.160652916179</v>
      </c>
      <c r="Y46" s="6" t="n">
        <f aca="false">X46*SUPUESTOS_FE!$B$9</f>
        <v>8320.49828165301</v>
      </c>
      <c r="Z46" s="25" t="n">
        <f aca="false">IF(A46&gt;=CRITERIOS!$B$16,C46,0)</f>
        <v>0</v>
      </c>
      <c r="AA46" s="6" t="n">
        <f aca="false">Z46*$B$5*$B$6*$B$9*$B$10</f>
        <v>0</v>
      </c>
      <c r="AB46" s="6" t="n">
        <f aca="false">AA46+AB45*EXP(-$B$7)</f>
        <v>0</v>
      </c>
      <c r="AC46" s="6" t="n">
        <f aca="false">Z46*$C$5*$C$6*$B$9*$B$10</f>
        <v>0</v>
      </c>
      <c r="AD46" s="6" t="n">
        <f aca="false">AC46+AD45*EXP(-$C$7)</f>
        <v>0</v>
      </c>
      <c r="AE46" s="6" t="n">
        <f aca="false">Z46*$D$5*$D$6*$B$9*$B$10</f>
        <v>0</v>
      </c>
      <c r="AF46" s="6" t="n">
        <f aca="false">AE46+AF45*EXP(-$D$7)</f>
        <v>0</v>
      </c>
      <c r="AG46" s="6" t="n">
        <f aca="false">Z46*$E$5*$E$6*$B$9*$B$10</f>
        <v>0</v>
      </c>
      <c r="AH46" s="6" t="n">
        <f aca="false">AG46+AH45*EXP(-$E$7)</f>
        <v>0</v>
      </c>
      <c r="AI46" s="6" t="n">
        <f aca="false">Z46*$F$5*$F$6*$B$9*$B$10</f>
        <v>0</v>
      </c>
      <c r="AJ46" s="6" t="n">
        <f aca="false">AI46+AJ45*EXP(-$F$7)</f>
        <v>0</v>
      </c>
      <c r="AK46" s="6" t="n">
        <f aca="false">Z46*$G$5*$G$6*$B$9*$B$10</f>
        <v>0</v>
      </c>
      <c r="AL46" s="6" t="n">
        <f aca="false">AK46+AL45*EXP(-$G$7)</f>
        <v>0</v>
      </c>
      <c r="AM46" s="6" t="n">
        <f aca="false">AB45*(1-EXP(-$B$7))+AD45*(1-EXP(-$C$7))+AF45*(1-EXP(-$D$7))+AH45*(1-EXP(-$E$7))+AJ45*(1-EXP(-$F$7))+AL45*(1-EXP(-$G$7))</f>
        <v>0</v>
      </c>
      <c r="AN46" s="6" t="n">
        <f aca="false">AM46*$B$11*16/12*(1-$B$12)*SUPUESTOS_FE!$B$9</f>
        <v>0</v>
      </c>
      <c r="AO46" s="6" t="n">
        <f aca="false">Y46-AN46</f>
        <v>8320.49828165301</v>
      </c>
    </row>
    <row r="47" customFormat="false" ht="15" hidden="false" customHeight="false" outlineLevel="0" collapsed="false">
      <c r="A47" s="51" t="n">
        <v>2016</v>
      </c>
      <c r="B47" s="25" t="n">
        <f aca="false">SUPUESTOS_FE!$B$5*(1+$B$15)^(A47-2022)</f>
        <v>44093.0127802144</v>
      </c>
      <c r="C47" s="25" t="n">
        <f aca="false">IF(A47&gt;=$B$14,B47*$B$16*365/1000*$B$17,0)</f>
        <v>13036.0992284704</v>
      </c>
      <c r="D47" s="6" t="n">
        <f aca="false">C47*$B$5*$B$6*$B$9*$B$10</f>
        <v>358.427548286794</v>
      </c>
      <c r="E47" s="6" t="n">
        <f aca="false">D47+E46*EXP(-$B$7)</f>
        <v>3509.76592098341</v>
      </c>
      <c r="F47" s="6" t="n">
        <f aca="false">E46*(1-EXP(-$B$7))</f>
        <v>194.867881963432</v>
      </c>
      <c r="G47" s="6" t="n">
        <f aca="false">C47*$C$5*$C$6*$B$9*$B$10</f>
        <v>191.630658658515</v>
      </c>
      <c r="H47" s="6" t="n">
        <f aca="false">G47+H46*EXP(-$C$7)</f>
        <v>1994.19255897251</v>
      </c>
      <c r="I47" s="6" t="n">
        <f aca="false">H46*(1-EXP(-$C$7))</f>
        <v>92.4193249147477</v>
      </c>
      <c r="J47" s="6" t="n">
        <f aca="false">C47*$D$5*$D$6*$B$9*$B$10</f>
        <v>406.465573943707</v>
      </c>
      <c r="K47" s="6" t="n">
        <f aca="false">J47+K46*EXP(-$D$7)</f>
        <v>4504.31544356655</v>
      </c>
      <c r="L47" s="6" t="n">
        <f aca="false">K46*(1-EXP(-$D$7))</f>
        <v>167.236425703485</v>
      </c>
      <c r="M47" s="6" t="n">
        <f aca="false">C47*$E$5*$E$6*$B$9*$B$10</f>
        <v>7.84773173553918</v>
      </c>
      <c r="N47" s="6" t="n">
        <f aca="false">M47+N46*EXP(-$E$7)</f>
        <v>99.2286644341343</v>
      </c>
      <c r="O47" s="6" t="n">
        <f aca="false">N46*(1-EXP(-$E$7))</f>
        <v>1.84601729340641</v>
      </c>
      <c r="P47" s="6" t="n">
        <f aca="false">C47*$F$5*$F$6*$B$9*$B$10</f>
        <v>15.9561854556478</v>
      </c>
      <c r="Q47" s="6" t="n">
        <f aca="false">P47+Q46*EXP(-$F$7)</f>
        <v>176.821106572337</v>
      </c>
      <c r="R47" s="6" t="n">
        <f aca="false">Q46*(1-EXP(-$F$7))</f>
        <v>6.56502197116954</v>
      </c>
      <c r="S47" s="6" t="n">
        <f aca="false">C47*$G$5*$G$6*$B$9*$B$10</f>
        <v>147.360065678629</v>
      </c>
      <c r="T47" s="6" t="n">
        <f aca="false">S47+T46*EXP(-$G$7)</f>
        <v>1632.99492540334</v>
      </c>
      <c r="U47" s="6" t="n">
        <f aca="false">T46*(1-EXP(-$G$7))</f>
        <v>60.6299087925657</v>
      </c>
      <c r="V47" s="6" t="n">
        <f aca="false">F47+I47+L47+O47+R47+U47</f>
        <v>523.564580638807</v>
      </c>
      <c r="W47" s="6" t="n">
        <f aca="false">V47*$B$11*16/12</f>
        <v>349.043053759205</v>
      </c>
      <c r="X47" s="6" t="n">
        <f aca="false">(W47-$B$13)*(1-$B$12)</f>
        <v>314.138748383284</v>
      </c>
      <c r="Y47" s="6" t="n">
        <f aca="false">X47*SUPUESTOS_FE!$B$9</f>
        <v>8795.88495473196</v>
      </c>
      <c r="Z47" s="25" t="n">
        <f aca="false">IF(A47&gt;=CRITERIOS!$B$16,C47,0)</f>
        <v>0</v>
      </c>
      <c r="AA47" s="6" t="n">
        <f aca="false">Z47*$B$5*$B$6*$B$9*$B$10</f>
        <v>0</v>
      </c>
      <c r="AB47" s="6" t="n">
        <f aca="false">AA47+AB46*EXP(-$B$7)</f>
        <v>0</v>
      </c>
      <c r="AC47" s="6" t="n">
        <f aca="false">Z47*$C$5*$C$6*$B$9*$B$10</f>
        <v>0</v>
      </c>
      <c r="AD47" s="6" t="n">
        <f aca="false">AC47+AD46*EXP(-$C$7)</f>
        <v>0</v>
      </c>
      <c r="AE47" s="6" t="n">
        <f aca="false">Z47*$D$5*$D$6*$B$9*$B$10</f>
        <v>0</v>
      </c>
      <c r="AF47" s="6" t="n">
        <f aca="false">AE47+AF46*EXP(-$D$7)</f>
        <v>0</v>
      </c>
      <c r="AG47" s="6" t="n">
        <f aca="false">Z47*$E$5*$E$6*$B$9*$B$10</f>
        <v>0</v>
      </c>
      <c r="AH47" s="6" t="n">
        <f aca="false">AG47+AH46*EXP(-$E$7)</f>
        <v>0</v>
      </c>
      <c r="AI47" s="6" t="n">
        <f aca="false">Z47*$F$5*$F$6*$B$9*$B$10</f>
        <v>0</v>
      </c>
      <c r="AJ47" s="6" t="n">
        <f aca="false">AI47+AJ46*EXP(-$F$7)</f>
        <v>0</v>
      </c>
      <c r="AK47" s="6" t="n">
        <f aca="false">Z47*$G$5*$G$6*$B$9*$B$10</f>
        <v>0</v>
      </c>
      <c r="AL47" s="6" t="n">
        <f aca="false">AK47+AL46*EXP(-$G$7)</f>
        <v>0</v>
      </c>
      <c r="AM47" s="6" t="n">
        <f aca="false">AB46*(1-EXP(-$B$7))+AD46*(1-EXP(-$C$7))+AF46*(1-EXP(-$D$7))+AH46*(1-EXP(-$E$7))+AJ46*(1-EXP(-$F$7))+AL46*(1-EXP(-$G$7))</f>
        <v>0</v>
      </c>
      <c r="AN47" s="6" t="n">
        <f aca="false">AM47*$B$11*16/12*(1-$B$12)*SUPUESTOS_FE!$B$9</f>
        <v>0</v>
      </c>
      <c r="AO47" s="6" t="n">
        <f aca="false">Y47-AN47</f>
        <v>8795.88495473196</v>
      </c>
    </row>
    <row r="48" customFormat="false" ht="15" hidden="false" customHeight="false" outlineLevel="0" collapsed="false">
      <c r="A48" s="51" t="n">
        <v>2017</v>
      </c>
      <c r="B48" s="25" t="n">
        <f aca="false">SUPUESTOS_FE!$B$5*(1+$B$15)^(A48-2022)</f>
        <v>44666.2219463572</v>
      </c>
      <c r="C48" s="25" t="n">
        <f aca="false">IF(A48&gt;=$B$14,B48*$B$16*365/1000*$B$17,0)</f>
        <v>13205.5685184405</v>
      </c>
      <c r="D48" s="6" t="n">
        <f aca="false">C48*$B$5*$B$6*$B$9*$B$10</f>
        <v>363.087106414522</v>
      </c>
      <c r="E48" s="6" t="n">
        <f aca="false">D48+E47*EXP(-$B$7)</f>
        <v>3668.46017197935</v>
      </c>
      <c r="F48" s="6" t="n">
        <f aca="false">E47*(1-EXP(-$B$7))</f>
        <v>204.392855418578</v>
      </c>
      <c r="G48" s="6" t="n">
        <f aca="false">C48*$C$5*$C$6*$B$9*$B$10</f>
        <v>194.121857221076</v>
      </c>
      <c r="H48" s="6" t="n">
        <f aca="false">G48+H47*EXP(-$C$7)</f>
        <v>2091.0564974361</v>
      </c>
      <c r="I48" s="6" t="n">
        <f aca="false">H47*(1-EXP(-$C$7))</f>
        <v>97.257918757483</v>
      </c>
      <c r="J48" s="6" t="n">
        <f aca="false">C48*$D$5*$D$6*$B$9*$B$10</f>
        <v>411.749626404975</v>
      </c>
      <c r="K48" s="6" t="n">
        <f aca="false">J48+K47*EXP(-$D$7)</f>
        <v>4739.44833519443</v>
      </c>
      <c r="L48" s="6" t="n">
        <f aca="false">K47*(1-EXP(-$D$7))</f>
        <v>176.616734777097</v>
      </c>
      <c r="M48" s="6" t="n">
        <f aca="false">C48*$E$5*$E$6*$B$9*$B$10</f>
        <v>7.94975224810119</v>
      </c>
      <c r="N48" s="6" t="n">
        <f aca="false">M48+N47*EXP(-$E$7)</f>
        <v>105.213557480441</v>
      </c>
      <c r="O48" s="6" t="n">
        <f aca="false">N47*(1-EXP(-$E$7))</f>
        <v>1.96485920179465</v>
      </c>
      <c r="P48" s="6" t="n">
        <f aca="false">C48*$F$5*$F$6*$B$9*$B$10</f>
        <v>16.1636158665712</v>
      </c>
      <c r="Q48" s="6" t="n">
        <f aca="false">P48+Q47*EXP(-$F$7)</f>
        <v>186.0514676805</v>
      </c>
      <c r="R48" s="6" t="n">
        <f aca="false">Q47*(1-EXP(-$F$7))</f>
        <v>6.93325475840815</v>
      </c>
      <c r="S48" s="6" t="n">
        <f aca="false">C48*$G$5*$G$6*$B$9*$B$10</f>
        <v>149.275746532452</v>
      </c>
      <c r="T48" s="6" t="n">
        <f aca="false">S48+T47*EXP(-$G$7)</f>
        <v>1718.24002504932</v>
      </c>
      <c r="U48" s="6" t="n">
        <f aca="false">T47*(1-EXP(-$G$7))</f>
        <v>64.0306468864753</v>
      </c>
      <c r="V48" s="6" t="n">
        <f aca="false">F48+I48+L48+O48+R48+U48</f>
        <v>551.196269799835</v>
      </c>
      <c r="W48" s="6" t="n">
        <f aca="false">V48*$B$11*16/12</f>
        <v>367.464179866557</v>
      </c>
      <c r="X48" s="6" t="n">
        <f aca="false">(W48-$B$13)*(1-$B$12)</f>
        <v>330.717761879901</v>
      </c>
      <c r="Y48" s="6" t="n">
        <f aca="false">X48*SUPUESTOS_FE!$B$9</f>
        <v>9260.09733263723</v>
      </c>
      <c r="Z48" s="25" t="n">
        <f aca="false">IF(A48&gt;=CRITERIOS!$B$16,C48,0)</f>
        <v>0</v>
      </c>
      <c r="AA48" s="6" t="n">
        <f aca="false">Z48*$B$5*$B$6*$B$9*$B$10</f>
        <v>0</v>
      </c>
      <c r="AB48" s="6" t="n">
        <f aca="false">AA48+AB47*EXP(-$B$7)</f>
        <v>0</v>
      </c>
      <c r="AC48" s="6" t="n">
        <f aca="false">Z48*$C$5*$C$6*$B$9*$B$10</f>
        <v>0</v>
      </c>
      <c r="AD48" s="6" t="n">
        <f aca="false">AC48+AD47*EXP(-$C$7)</f>
        <v>0</v>
      </c>
      <c r="AE48" s="6" t="n">
        <f aca="false">Z48*$D$5*$D$6*$B$9*$B$10</f>
        <v>0</v>
      </c>
      <c r="AF48" s="6" t="n">
        <f aca="false">AE48+AF47*EXP(-$D$7)</f>
        <v>0</v>
      </c>
      <c r="AG48" s="6" t="n">
        <f aca="false">Z48*$E$5*$E$6*$B$9*$B$10</f>
        <v>0</v>
      </c>
      <c r="AH48" s="6" t="n">
        <f aca="false">AG48+AH47*EXP(-$E$7)</f>
        <v>0</v>
      </c>
      <c r="AI48" s="6" t="n">
        <f aca="false">Z48*$F$5*$F$6*$B$9*$B$10</f>
        <v>0</v>
      </c>
      <c r="AJ48" s="6" t="n">
        <f aca="false">AI48+AJ47*EXP(-$F$7)</f>
        <v>0</v>
      </c>
      <c r="AK48" s="6" t="n">
        <f aca="false">Z48*$G$5*$G$6*$B$9*$B$10</f>
        <v>0</v>
      </c>
      <c r="AL48" s="6" t="n">
        <f aca="false">AK48+AL47*EXP(-$G$7)</f>
        <v>0</v>
      </c>
      <c r="AM48" s="6" t="n">
        <f aca="false">AB47*(1-EXP(-$B$7))+AD47*(1-EXP(-$C$7))+AF47*(1-EXP(-$D$7))+AH47*(1-EXP(-$E$7))+AJ47*(1-EXP(-$F$7))+AL47*(1-EXP(-$G$7))</f>
        <v>0</v>
      </c>
      <c r="AN48" s="6" t="n">
        <f aca="false">AM48*$B$11*16/12*(1-$B$12)*SUPUESTOS_FE!$B$9</f>
        <v>0</v>
      </c>
      <c r="AO48" s="6" t="n">
        <f aca="false">Y48-AN48</f>
        <v>9260.09733263723</v>
      </c>
    </row>
    <row r="49" customFormat="false" ht="15" hidden="false" customHeight="false" outlineLevel="0" collapsed="false">
      <c r="A49" s="51" t="n">
        <v>2018</v>
      </c>
      <c r="B49" s="25" t="n">
        <f aca="false">SUPUESTOS_FE!$B$5*(1+$B$15)^(A49-2022)</f>
        <v>45246.8828316599</v>
      </c>
      <c r="C49" s="25" t="n">
        <f aca="false">IF(A49&gt;=$B$14,B49*$B$16*365/1000*$B$17,0)</f>
        <v>13377.2409091802</v>
      </c>
      <c r="D49" s="6" t="n">
        <f aca="false">C49*$B$5*$B$6*$B$9*$B$10</f>
        <v>367.807238797911</v>
      </c>
      <c r="E49" s="6" t="n">
        <f aca="false">D49+E48*EXP(-$B$7)</f>
        <v>3822.63292163444</v>
      </c>
      <c r="F49" s="6" t="n">
        <f aca="false">E48*(1-EXP(-$B$7))</f>
        <v>213.634489142825</v>
      </c>
      <c r="G49" s="6" t="n">
        <f aca="false">C49*$C$5*$C$6*$B$9*$B$10</f>
        <v>196.64544136495</v>
      </c>
      <c r="H49" s="6" t="n">
        <f aca="false">G49+H48*EXP(-$C$7)</f>
        <v>2185.71991001957</v>
      </c>
      <c r="I49" s="6" t="n">
        <f aca="false">H48*(1-EXP(-$C$7))</f>
        <v>101.98202878148</v>
      </c>
      <c r="J49" s="6" t="n">
        <f aca="false">C49*$D$5*$D$6*$B$9*$B$10</f>
        <v>417.10237154824</v>
      </c>
      <c r="K49" s="6" t="n">
        <f aca="false">J49+K48*EXP(-$D$7)</f>
        <v>4970.7142794111</v>
      </c>
      <c r="L49" s="6" t="n">
        <f aca="false">K48*(1-EXP(-$D$7))</f>
        <v>185.836427331562</v>
      </c>
      <c r="M49" s="6" t="n">
        <f aca="false">C49*$E$5*$E$6*$B$9*$B$10</f>
        <v>8.0530990273265</v>
      </c>
      <c r="N49" s="6" t="n">
        <f aca="false">M49+N48*EXP(-$E$7)</f>
        <v>111.183288483539</v>
      </c>
      <c r="O49" s="6" t="n">
        <f aca="false">N48*(1-EXP(-$E$7))</f>
        <v>2.08336802422869</v>
      </c>
      <c r="P49" s="6" t="n">
        <f aca="false">C49*$F$5*$F$6*$B$9*$B$10</f>
        <v>16.3737428728366</v>
      </c>
      <c r="Q49" s="6" t="n">
        <f aca="false">P49+Q48*EXP(-$F$7)</f>
        <v>195.13002815905</v>
      </c>
      <c r="R49" s="6" t="n">
        <f aca="false">Q48*(1-EXP(-$F$7))</f>
        <v>7.29518239428581</v>
      </c>
      <c r="S49" s="6" t="n">
        <f aca="false">C49*$G$5*$G$6*$B$9*$B$10</f>
        <v>151.216331237373</v>
      </c>
      <c r="T49" s="6" t="n">
        <f aca="false">S49+T48*EXP(-$G$7)</f>
        <v>1802.08320123358</v>
      </c>
      <c r="U49" s="6" t="n">
        <f aca="false">T48*(1-EXP(-$G$7))</f>
        <v>67.3731550531101</v>
      </c>
      <c r="V49" s="6" t="n">
        <f aca="false">F49+I49+L49+O49+R49+U49</f>
        <v>578.204650727491</v>
      </c>
      <c r="W49" s="6" t="n">
        <f aca="false">V49*$B$11*16/12</f>
        <v>385.469767151661</v>
      </c>
      <c r="X49" s="6" t="n">
        <f aca="false">(W49-$B$13)*(1-$B$12)</f>
        <v>346.922790436495</v>
      </c>
      <c r="Y49" s="6" t="n">
        <f aca="false">X49*SUPUESTOS_FE!$B$9</f>
        <v>9713.83813222185</v>
      </c>
      <c r="Z49" s="25" t="n">
        <f aca="false">IF(A49&gt;=CRITERIOS!$B$16,C49,0)</f>
        <v>0</v>
      </c>
      <c r="AA49" s="6" t="n">
        <f aca="false">Z49*$B$5*$B$6*$B$9*$B$10</f>
        <v>0</v>
      </c>
      <c r="AB49" s="6" t="n">
        <f aca="false">AA49+AB48*EXP(-$B$7)</f>
        <v>0</v>
      </c>
      <c r="AC49" s="6" t="n">
        <f aca="false">Z49*$C$5*$C$6*$B$9*$B$10</f>
        <v>0</v>
      </c>
      <c r="AD49" s="6" t="n">
        <f aca="false">AC49+AD48*EXP(-$C$7)</f>
        <v>0</v>
      </c>
      <c r="AE49" s="6" t="n">
        <f aca="false">Z49*$D$5*$D$6*$B$9*$B$10</f>
        <v>0</v>
      </c>
      <c r="AF49" s="6" t="n">
        <f aca="false">AE49+AF48*EXP(-$D$7)</f>
        <v>0</v>
      </c>
      <c r="AG49" s="6" t="n">
        <f aca="false">Z49*$E$5*$E$6*$B$9*$B$10</f>
        <v>0</v>
      </c>
      <c r="AH49" s="6" t="n">
        <f aca="false">AG49+AH48*EXP(-$E$7)</f>
        <v>0</v>
      </c>
      <c r="AI49" s="6" t="n">
        <f aca="false">Z49*$F$5*$F$6*$B$9*$B$10</f>
        <v>0</v>
      </c>
      <c r="AJ49" s="6" t="n">
        <f aca="false">AI49+AJ48*EXP(-$F$7)</f>
        <v>0</v>
      </c>
      <c r="AK49" s="6" t="n">
        <f aca="false">Z49*$G$5*$G$6*$B$9*$B$10</f>
        <v>0</v>
      </c>
      <c r="AL49" s="6" t="n">
        <f aca="false">AK49+AL48*EXP(-$G$7)</f>
        <v>0</v>
      </c>
      <c r="AM49" s="6" t="n">
        <f aca="false">AB48*(1-EXP(-$B$7))+AD48*(1-EXP(-$C$7))+AF48*(1-EXP(-$D$7))+AH48*(1-EXP(-$E$7))+AJ48*(1-EXP(-$F$7))+AL48*(1-EXP(-$G$7))</f>
        <v>0</v>
      </c>
      <c r="AN49" s="6" t="n">
        <f aca="false">AM49*$B$11*16/12*(1-$B$12)*SUPUESTOS_FE!$B$9</f>
        <v>0</v>
      </c>
      <c r="AO49" s="6" t="n">
        <f aca="false">Y49-AN49</f>
        <v>9713.83813222185</v>
      </c>
    </row>
    <row r="50" customFormat="false" ht="15" hidden="false" customHeight="false" outlineLevel="0" collapsed="false">
      <c r="A50" s="51" t="n">
        <v>2019</v>
      </c>
      <c r="B50" s="25" t="n">
        <f aca="false">SUPUESTOS_FE!$B$5*(1+$B$15)^(A50-2022)</f>
        <v>45835.0923084714</v>
      </c>
      <c r="C50" s="25" t="n">
        <f aca="false">IF(A50&gt;=$B$14,B50*$B$16*365/1000*$B$17,0)</f>
        <v>13551.1450409996</v>
      </c>
      <c r="D50" s="6" t="n">
        <f aca="false">C50*$B$5*$B$6*$B$9*$B$10</f>
        <v>372.588732902283</v>
      </c>
      <c r="E50" s="6" t="n">
        <f aca="false">D50+E49*EXP(-$B$7)</f>
        <v>3972.60884340914</v>
      </c>
      <c r="F50" s="6" t="n">
        <f aca="false">E49*(1-EXP(-$B$7))</f>
        <v>222.612811127588</v>
      </c>
      <c r="G50" s="6" t="n">
        <f aca="false">C50*$C$5*$C$6*$B$9*$B$10</f>
        <v>199.201832102694</v>
      </c>
      <c r="H50" s="6" t="n">
        <f aca="false">G50+H49*EXP(-$C$7)</f>
        <v>2278.32292423036</v>
      </c>
      <c r="I50" s="6" t="n">
        <f aca="false">H49*(1-EXP(-$C$7))</f>
        <v>106.598817891902</v>
      </c>
      <c r="J50" s="6" t="n">
        <f aca="false">C50*$D$5*$D$6*$B$9*$B$10</f>
        <v>422.524702378367</v>
      </c>
      <c r="K50" s="6" t="n">
        <f aca="false">J50+K49*EXP(-$D$7)</f>
        <v>5198.33448708021</v>
      </c>
      <c r="L50" s="6" t="n">
        <f aca="false">K49*(1-EXP(-$D$7))</f>
        <v>194.904494709265</v>
      </c>
      <c r="M50" s="6" t="n">
        <f aca="false">C50*$E$5*$E$6*$B$9*$B$10</f>
        <v>8.15778931468175</v>
      </c>
      <c r="N50" s="6" t="n">
        <f aca="false">M50+N49*EXP(-$E$7)</f>
        <v>117.139501180129</v>
      </c>
      <c r="O50" s="6" t="n">
        <f aca="false">N49*(1-EXP(-$E$7))</f>
        <v>2.20157661809183</v>
      </c>
      <c r="P50" s="6" t="n">
        <f aca="false">C50*$F$5*$F$6*$B$9*$B$10</f>
        <v>16.5866015301835</v>
      </c>
      <c r="Q50" s="6" t="n">
        <f aca="false">P50+Q49*EXP(-$F$7)</f>
        <v>204.065471846895</v>
      </c>
      <c r="R50" s="6" t="n">
        <f aca="false">Q49*(1-EXP(-$F$7))</f>
        <v>7.65115784233934</v>
      </c>
      <c r="S50" s="6" t="n">
        <f aca="false">C50*$G$5*$G$6*$B$9*$B$10</f>
        <v>153.182143543459</v>
      </c>
      <c r="T50" s="6" t="n">
        <f aca="false">S50+T49*EXP(-$G$7)</f>
        <v>1884.6046517625</v>
      </c>
      <c r="U50" s="6" t="n">
        <f aca="false">T49*(1-EXP(-$G$7))</f>
        <v>70.6606930145456</v>
      </c>
      <c r="V50" s="6" t="n">
        <f aca="false">F50+I50+L50+O50+R50+U50</f>
        <v>604.629551203732</v>
      </c>
      <c r="W50" s="6" t="n">
        <f aca="false">V50*$B$11*16/12</f>
        <v>403.086367469154</v>
      </c>
      <c r="X50" s="6" t="n">
        <f aca="false">(W50-$B$13)*(1-$B$12)</f>
        <v>362.777730722239</v>
      </c>
      <c r="Y50" s="6" t="n">
        <f aca="false">X50*SUPUESTOS_FE!$B$9</f>
        <v>10157.7764602227</v>
      </c>
      <c r="Z50" s="25" t="n">
        <f aca="false">IF(A50&gt;=CRITERIOS!$B$16,C50,0)</f>
        <v>0</v>
      </c>
      <c r="AA50" s="6" t="n">
        <f aca="false">Z50*$B$5*$B$6*$B$9*$B$10</f>
        <v>0</v>
      </c>
      <c r="AB50" s="6" t="n">
        <f aca="false">AA50+AB49*EXP(-$B$7)</f>
        <v>0</v>
      </c>
      <c r="AC50" s="6" t="n">
        <f aca="false">Z50*$C$5*$C$6*$B$9*$B$10</f>
        <v>0</v>
      </c>
      <c r="AD50" s="6" t="n">
        <f aca="false">AC50+AD49*EXP(-$C$7)</f>
        <v>0</v>
      </c>
      <c r="AE50" s="6" t="n">
        <f aca="false">Z50*$D$5*$D$6*$B$9*$B$10</f>
        <v>0</v>
      </c>
      <c r="AF50" s="6" t="n">
        <f aca="false">AE50+AF49*EXP(-$D$7)</f>
        <v>0</v>
      </c>
      <c r="AG50" s="6" t="n">
        <f aca="false">Z50*$E$5*$E$6*$B$9*$B$10</f>
        <v>0</v>
      </c>
      <c r="AH50" s="6" t="n">
        <f aca="false">AG50+AH49*EXP(-$E$7)</f>
        <v>0</v>
      </c>
      <c r="AI50" s="6" t="n">
        <f aca="false">Z50*$F$5*$F$6*$B$9*$B$10</f>
        <v>0</v>
      </c>
      <c r="AJ50" s="6" t="n">
        <f aca="false">AI50+AJ49*EXP(-$F$7)</f>
        <v>0</v>
      </c>
      <c r="AK50" s="6" t="n">
        <f aca="false">Z50*$G$5*$G$6*$B$9*$B$10</f>
        <v>0</v>
      </c>
      <c r="AL50" s="6" t="n">
        <f aca="false">AK50+AL49*EXP(-$G$7)</f>
        <v>0</v>
      </c>
      <c r="AM50" s="6" t="n">
        <f aca="false">AB49*(1-EXP(-$B$7))+AD49*(1-EXP(-$C$7))+AF49*(1-EXP(-$D$7))+AH49*(1-EXP(-$E$7))+AJ49*(1-EXP(-$F$7))+AL49*(1-EXP(-$G$7))</f>
        <v>0</v>
      </c>
      <c r="AN50" s="6" t="n">
        <f aca="false">AM50*$B$11*16/12*(1-$B$12)*SUPUESTOS_FE!$B$9</f>
        <v>0</v>
      </c>
      <c r="AO50" s="6" t="n">
        <f aca="false">Y50-AN50</f>
        <v>10157.7764602227</v>
      </c>
    </row>
    <row r="51" customFormat="false" ht="15" hidden="false" customHeight="false" outlineLevel="0" collapsed="false">
      <c r="A51" s="51" t="n">
        <v>2020</v>
      </c>
      <c r="B51" s="25" t="n">
        <f aca="false">SUPUESTOS_FE!$B$5*(1+$B$15)^(A51-2022)</f>
        <v>46430.9485084816</v>
      </c>
      <c r="C51" s="25" t="n">
        <f aca="false">IF(A51&gt;=$B$14,B51*$B$16*365/1000*$B$17,0)</f>
        <v>13727.3099265326</v>
      </c>
      <c r="D51" s="6" t="n">
        <f aca="false">C51*$B$5*$B$6*$B$9*$B$10</f>
        <v>377.432386430013</v>
      </c>
      <c r="E51" s="6" t="n">
        <f aca="false">D51+E50*EXP(-$B$7)</f>
        <v>4118.69450095588</v>
      </c>
      <c r="F51" s="6" t="n">
        <f aca="false">E50*(1-EXP(-$B$7))</f>
        <v>231.346728883269</v>
      </c>
      <c r="G51" s="6" t="n">
        <f aca="false">C51*$C$5*$C$6*$B$9*$B$10</f>
        <v>201.791455920029</v>
      </c>
      <c r="H51" s="6" t="n">
        <f aca="false">G51+H50*EXP(-$C$7)</f>
        <v>2368.99925996246</v>
      </c>
      <c r="I51" s="6" t="n">
        <f aca="false">H50*(1-EXP(-$C$7))</f>
        <v>111.115120187931</v>
      </c>
      <c r="J51" s="6" t="n">
        <f aca="false">C51*$D$5*$D$6*$B$9*$B$10</f>
        <v>428.017523509286</v>
      </c>
      <c r="K51" s="6" t="n">
        <f aca="false">J51+K50*EXP(-$D$7)</f>
        <v>5422.52239987726</v>
      </c>
      <c r="L51" s="6" t="n">
        <f aca="false">K50*(1-EXP(-$D$7))</f>
        <v>203.829610712235</v>
      </c>
      <c r="M51" s="6" t="n">
        <f aca="false">C51*$E$5*$E$6*$B$9*$B$10</f>
        <v>8.26384057577261</v>
      </c>
      <c r="N51" s="6" t="n">
        <f aca="false">M51+N50*EXP(-$E$7)</f>
        <v>123.08382422435</v>
      </c>
      <c r="O51" s="6" t="n">
        <f aca="false">N50*(1-EXP(-$E$7))</f>
        <v>2.31951753155145</v>
      </c>
      <c r="P51" s="6" t="n">
        <f aca="false">C51*$F$5*$F$6*$B$9*$B$10</f>
        <v>16.8022273500759</v>
      </c>
      <c r="Q51" s="6" t="n">
        <f aca="false">P51+Q50*EXP(-$F$7)</f>
        <v>212.866177596208</v>
      </c>
      <c r="R51" s="6" t="n">
        <f aca="false">Q50*(1-EXP(-$F$7))</f>
        <v>8.00152160076254</v>
      </c>
      <c r="S51" s="6" t="n">
        <f aca="false">C51*$G$5*$G$6*$B$9*$B$10</f>
        <v>155.173511409524</v>
      </c>
      <c r="T51" s="6" t="n">
        <f aca="false">S51+T50*EXP(-$G$7)</f>
        <v>1965.88175780027</v>
      </c>
      <c r="U51" s="6" t="n">
        <f aca="false">T50*(1-EXP(-$G$7))</f>
        <v>73.8964053717482</v>
      </c>
      <c r="V51" s="6" t="n">
        <f aca="false">F51+I51+L51+O51+R51+U51</f>
        <v>630.508904287498</v>
      </c>
      <c r="W51" s="6" t="n">
        <f aca="false">V51*$B$11*16/12</f>
        <v>420.339269524998</v>
      </c>
      <c r="X51" s="6" t="n">
        <f aca="false">(W51-$B$13)*(1-$B$12)</f>
        <v>378.305342572499</v>
      </c>
      <c r="Y51" s="6" t="n">
        <f aca="false">X51*SUPUESTOS_FE!$B$9</f>
        <v>10592.54959203</v>
      </c>
      <c r="Z51" s="25" t="n">
        <f aca="false">IF(A51&gt;=CRITERIOS!$B$16,C51,0)</f>
        <v>0</v>
      </c>
      <c r="AA51" s="6" t="n">
        <f aca="false">Z51*$B$5*$B$6*$B$9*$B$10</f>
        <v>0</v>
      </c>
      <c r="AB51" s="6" t="n">
        <f aca="false">AA51+AB50*EXP(-$B$7)</f>
        <v>0</v>
      </c>
      <c r="AC51" s="6" t="n">
        <f aca="false">Z51*$C$5*$C$6*$B$9*$B$10</f>
        <v>0</v>
      </c>
      <c r="AD51" s="6" t="n">
        <f aca="false">AC51+AD50*EXP(-$C$7)</f>
        <v>0</v>
      </c>
      <c r="AE51" s="6" t="n">
        <f aca="false">Z51*$D$5*$D$6*$B$9*$B$10</f>
        <v>0</v>
      </c>
      <c r="AF51" s="6" t="n">
        <f aca="false">AE51+AF50*EXP(-$D$7)</f>
        <v>0</v>
      </c>
      <c r="AG51" s="6" t="n">
        <f aca="false">Z51*$E$5*$E$6*$B$9*$B$10</f>
        <v>0</v>
      </c>
      <c r="AH51" s="6" t="n">
        <f aca="false">AG51+AH50*EXP(-$E$7)</f>
        <v>0</v>
      </c>
      <c r="AI51" s="6" t="n">
        <f aca="false">Z51*$F$5*$F$6*$B$9*$B$10</f>
        <v>0</v>
      </c>
      <c r="AJ51" s="6" t="n">
        <f aca="false">AI51+AJ50*EXP(-$F$7)</f>
        <v>0</v>
      </c>
      <c r="AK51" s="6" t="n">
        <f aca="false">Z51*$G$5*$G$6*$B$9*$B$10</f>
        <v>0</v>
      </c>
      <c r="AL51" s="6" t="n">
        <f aca="false">AK51+AL50*EXP(-$G$7)</f>
        <v>0</v>
      </c>
      <c r="AM51" s="6" t="n">
        <f aca="false">AB50*(1-EXP(-$B$7))+AD50*(1-EXP(-$C$7))+AF50*(1-EXP(-$D$7))+AH50*(1-EXP(-$E$7))+AJ50*(1-EXP(-$F$7))+AL50*(1-EXP(-$G$7))</f>
        <v>0</v>
      </c>
      <c r="AN51" s="6" t="n">
        <f aca="false">AM51*$B$11*16/12*(1-$B$12)*SUPUESTOS_FE!$B$9</f>
        <v>0</v>
      </c>
      <c r="AO51" s="6" t="n">
        <f aca="false">Y51-AN51</f>
        <v>10592.54959203</v>
      </c>
    </row>
    <row r="52" customFormat="false" ht="15" hidden="false" customHeight="false" outlineLevel="0" collapsed="false">
      <c r="A52" s="51" t="n">
        <v>2021</v>
      </c>
      <c r="B52" s="25" t="n">
        <f aca="false">SUPUESTOS_FE!$B$5*(1+$B$15)^(A52-2022)</f>
        <v>47034.5508390918</v>
      </c>
      <c r="C52" s="25" t="n">
        <f aca="false">IF(A52&gt;=$B$14,B52*$B$16*365/1000*$B$17,0)</f>
        <v>13905.7649555775</v>
      </c>
      <c r="D52" s="6" t="n">
        <f aca="false">C52*$B$5*$B$6*$B$9*$B$10</f>
        <v>382.339007453603</v>
      </c>
      <c r="E52" s="6" t="n">
        <f aca="false">D52+E51*EXP(-$B$7)</f>
        <v>4261.17941312233</v>
      </c>
      <c r="F52" s="6" t="n">
        <f aca="false">E51*(1-EXP(-$B$7))</f>
        <v>239.854095287156</v>
      </c>
      <c r="G52" s="6" t="n">
        <f aca="false">C52*$C$5*$C$6*$B$9*$B$10</f>
        <v>204.414744846989</v>
      </c>
      <c r="H52" s="6" t="n">
        <f aca="false">G52+H51*EXP(-$C$7)</f>
        <v>2457.8765475437</v>
      </c>
      <c r="I52" s="6" t="n">
        <f aca="false">H51*(1-EXP(-$C$7))</f>
        <v>115.537457265752</v>
      </c>
      <c r="J52" s="6" t="n">
        <f aca="false">C52*$D$5*$D$6*$B$9*$B$10</f>
        <v>433.581751314906</v>
      </c>
      <c r="K52" s="6" t="n">
        <f aca="false">J52+K51*EXP(-$D$7)</f>
        <v>5643.48400668388</v>
      </c>
      <c r="L52" s="6" t="n">
        <f aca="false">K51*(1-EXP(-$D$7))</f>
        <v>212.620144508278</v>
      </c>
      <c r="M52" s="6" t="n">
        <f aca="false">C52*$E$5*$E$6*$B$9*$B$10</f>
        <v>8.37127050325765</v>
      </c>
      <c r="N52" s="6" t="n">
        <f aca="false">M52+N51*EXP(-$E$7)</f>
        <v>129.017871713487</v>
      </c>
      <c r="O52" s="6" t="n">
        <f aca="false">N51*(1-EXP(-$E$7))</f>
        <v>2.43722301412026</v>
      </c>
      <c r="P52" s="6" t="n">
        <f aca="false">C52*$F$5*$F$6*$B$9*$B$10</f>
        <v>17.0206563056269</v>
      </c>
      <c r="Q52" s="6" t="n">
        <f aca="false">P52+Q51*EXP(-$F$7)</f>
        <v>221.540231692786</v>
      </c>
      <c r="R52" s="6" t="n">
        <f aca="false">Q51*(1-EXP(-$F$7))</f>
        <v>8.34660220904849</v>
      </c>
      <c r="S52" s="6" t="n">
        <f aca="false">C52*$G$5*$G$6*$B$9*$B$10</f>
        <v>157.190767057848</v>
      </c>
      <c r="T52" s="6" t="n">
        <f aca="false">S52+T51*EXP(-$G$7)</f>
        <v>2045.98919857456</v>
      </c>
      <c r="U52" s="6" t="n">
        <f aca="false">T51*(1-EXP(-$G$7))</f>
        <v>77.0833262835655</v>
      </c>
      <c r="V52" s="6" t="n">
        <f aca="false">F52+I52+L52+O52+R52+U52</f>
        <v>655.878848567919</v>
      </c>
      <c r="W52" s="6" t="n">
        <f aca="false">V52*$B$11*16/12</f>
        <v>437.252565711946</v>
      </c>
      <c r="X52" s="6" t="n">
        <f aca="false">(W52-$B$13)*(1-$B$12)</f>
        <v>393.527309140752</v>
      </c>
      <c r="Y52" s="6" t="n">
        <f aca="false">X52*SUPUESTOS_FE!$B$9</f>
        <v>11018.764655941</v>
      </c>
      <c r="Z52" s="25" t="n">
        <f aca="false">IF(A52&gt;=CRITERIOS!$B$16,C52,0)</f>
        <v>0</v>
      </c>
      <c r="AA52" s="6" t="n">
        <f aca="false">Z52*$B$5*$B$6*$B$9*$B$10</f>
        <v>0</v>
      </c>
      <c r="AB52" s="6" t="n">
        <f aca="false">AA52+AB51*EXP(-$B$7)</f>
        <v>0</v>
      </c>
      <c r="AC52" s="6" t="n">
        <f aca="false">Z52*$C$5*$C$6*$B$9*$B$10</f>
        <v>0</v>
      </c>
      <c r="AD52" s="6" t="n">
        <f aca="false">AC52+AD51*EXP(-$C$7)</f>
        <v>0</v>
      </c>
      <c r="AE52" s="6" t="n">
        <f aca="false">Z52*$D$5*$D$6*$B$9*$B$10</f>
        <v>0</v>
      </c>
      <c r="AF52" s="6" t="n">
        <f aca="false">AE52+AF51*EXP(-$D$7)</f>
        <v>0</v>
      </c>
      <c r="AG52" s="6" t="n">
        <f aca="false">Z52*$E$5*$E$6*$B$9*$B$10</f>
        <v>0</v>
      </c>
      <c r="AH52" s="6" t="n">
        <f aca="false">AG52+AH51*EXP(-$E$7)</f>
        <v>0</v>
      </c>
      <c r="AI52" s="6" t="n">
        <f aca="false">Z52*$F$5*$F$6*$B$9*$B$10</f>
        <v>0</v>
      </c>
      <c r="AJ52" s="6" t="n">
        <f aca="false">AI52+AJ51*EXP(-$F$7)</f>
        <v>0</v>
      </c>
      <c r="AK52" s="6" t="n">
        <f aca="false">Z52*$G$5*$G$6*$B$9*$B$10</f>
        <v>0</v>
      </c>
      <c r="AL52" s="6" t="n">
        <f aca="false">AK52+AL51*EXP(-$G$7)</f>
        <v>0</v>
      </c>
      <c r="AM52" s="6" t="n">
        <f aca="false">AB51*(1-EXP(-$B$7))+AD51*(1-EXP(-$C$7))+AF51*(1-EXP(-$D$7))+AH51*(1-EXP(-$E$7))+AJ51*(1-EXP(-$F$7))+AL51*(1-EXP(-$G$7))</f>
        <v>0</v>
      </c>
      <c r="AN52" s="6" t="n">
        <f aca="false">AM52*$B$11*16/12*(1-$B$12)*SUPUESTOS_FE!$B$9</f>
        <v>0</v>
      </c>
      <c r="AO52" s="6" t="n">
        <f aca="false">Y52-AN52</f>
        <v>11018.764655941</v>
      </c>
    </row>
    <row r="53" customFormat="false" ht="15" hidden="false" customHeight="false" outlineLevel="0" collapsed="false">
      <c r="A53" s="51" t="n">
        <v>2022</v>
      </c>
      <c r="B53" s="25" t="n">
        <f aca="false">SUPUESTOS_FE!$B$5*(1+$B$15)^(A53-2022)</f>
        <v>47646</v>
      </c>
      <c r="C53" s="25" t="n">
        <f aca="false">IF(A53&gt;=$B$14,B53*$B$16*365/1000*$B$17,0)</f>
        <v>14086.5399</v>
      </c>
      <c r="D53" s="6" t="n">
        <f aca="false">C53*$B$5*$B$6*$B$9*$B$10</f>
        <v>387.3094145505</v>
      </c>
      <c r="E53" s="6" t="n">
        <f aca="false">D53+E52*EXP(-$B$7)</f>
        <v>4400.33705706845</v>
      </c>
      <c r="F53" s="6" t="n">
        <f aca="false">E52*(1-EXP(-$B$7))</f>
        <v>248.151770604376</v>
      </c>
      <c r="G53" s="6" t="n">
        <f aca="false">C53*$C$5*$C$6*$B$9*$B$10</f>
        <v>207.07213653</v>
      </c>
      <c r="H53" s="6" t="n">
        <f aca="false">G53+H52*EXP(-$C$7)</f>
        <v>2545.07663034379</v>
      </c>
      <c r="I53" s="6" t="n">
        <f aca="false">H52*(1-EXP(-$C$7))</f>
        <v>119.872053729904</v>
      </c>
      <c r="J53" s="6" t="n">
        <f aca="false">C53*$D$5*$D$6*$B$9*$B$10</f>
        <v>439.218314082</v>
      </c>
      <c r="K53" s="6" t="n">
        <f aca="false">J53+K52*EXP(-$D$7)</f>
        <v>5861.41814772892</v>
      </c>
      <c r="L53" s="6" t="n">
        <f aca="false">K52*(1-EXP(-$D$7))</f>
        <v>221.284173036969</v>
      </c>
      <c r="M53" s="6" t="n">
        <f aca="false">C53*$E$5*$E$6*$B$9*$B$10</f>
        <v>8.4800970198</v>
      </c>
      <c r="N53" s="6" t="n">
        <f aca="false">M53+N52*EXP(-$E$7)</f>
        <v>134.943243706221</v>
      </c>
      <c r="O53" s="6" t="n">
        <f aca="false">N52*(1-EXP(-$E$7))</f>
        <v>2.5547250270659</v>
      </c>
      <c r="P53" s="6" t="n">
        <f aca="false">C53*$F$5*$F$6*$B$9*$B$10</f>
        <v>17.2419248376</v>
      </c>
      <c r="Q53" s="6" t="n">
        <f aca="false">P53+Q52*EXP(-$F$7)</f>
        <v>230.095439795388</v>
      </c>
      <c r="R53" s="6" t="n">
        <f aca="false">Q52*(1-EXP(-$F$7))</f>
        <v>8.68671673499842</v>
      </c>
      <c r="S53" s="6" t="n">
        <f aca="false">C53*$G$5*$G$6*$B$9*$B$10</f>
        <v>159.2342470296</v>
      </c>
      <c r="T53" s="6" t="n">
        <f aca="false">S53+T52*EXP(-$G$7)</f>
        <v>2124.99906163976</v>
      </c>
      <c r="U53" s="6" t="n">
        <f aca="false">T52*(1-EXP(-$G$7))</f>
        <v>80.2243839643971</v>
      </c>
      <c r="V53" s="6" t="n">
        <f aca="false">F53+I53+L53+O53+R53+U53</f>
        <v>680.773823097711</v>
      </c>
      <c r="W53" s="6" t="n">
        <f aca="false">V53*$B$11*16/12</f>
        <v>453.849215398474</v>
      </c>
      <c r="X53" s="6" t="n">
        <f aca="false">(W53-$B$13)*(1-$B$12)</f>
        <v>408.464293858627</v>
      </c>
      <c r="Y53" s="12" t="n">
        <f aca="false">X53*SUPUESTOS_FE!$B$9</f>
        <v>11437.0002280415</v>
      </c>
      <c r="Z53" s="25" t="n">
        <f aca="false">IF(A53&gt;=CRITERIOS!$B$16,C53,0)</f>
        <v>14086.5399</v>
      </c>
      <c r="AA53" s="6" t="n">
        <f aca="false">Z53*$B$5*$B$6*$B$9*$B$10</f>
        <v>387.3094145505</v>
      </c>
      <c r="AB53" s="6" t="n">
        <f aca="false">AA53+AB52*EXP(-$B$7)</f>
        <v>387.3094145505</v>
      </c>
      <c r="AC53" s="6" t="n">
        <f aca="false">Z53*$C$5*$C$6*$B$9*$B$10</f>
        <v>207.07213653</v>
      </c>
      <c r="AD53" s="6" t="n">
        <f aca="false">AC53+AD52*EXP(-$C$7)</f>
        <v>207.07213653</v>
      </c>
      <c r="AE53" s="6" t="n">
        <f aca="false">Z53*$D$5*$D$6*$B$9*$B$10</f>
        <v>439.218314082</v>
      </c>
      <c r="AF53" s="6" t="n">
        <f aca="false">AE53+AF52*EXP(-$D$7)</f>
        <v>439.218314082</v>
      </c>
      <c r="AG53" s="6" t="n">
        <f aca="false">Z53*$E$5*$E$6*$B$9*$B$10</f>
        <v>8.4800970198</v>
      </c>
      <c r="AH53" s="6" t="n">
        <f aca="false">AG53+AH52*EXP(-$E$7)</f>
        <v>8.4800970198</v>
      </c>
      <c r="AI53" s="6" t="n">
        <f aca="false">Z53*$F$5*$F$6*$B$9*$B$10</f>
        <v>17.2419248376</v>
      </c>
      <c r="AJ53" s="6" t="n">
        <f aca="false">AI53+AJ52*EXP(-$F$7)</f>
        <v>17.2419248376</v>
      </c>
      <c r="AK53" s="6" t="n">
        <f aca="false">Z53*$G$5*$G$6*$B$9*$B$10</f>
        <v>159.2342470296</v>
      </c>
      <c r="AL53" s="6" t="n">
        <f aca="false">AK53+AL52*EXP(-$G$7)</f>
        <v>159.2342470296</v>
      </c>
      <c r="AM53" s="6" t="n">
        <f aca="false">AB52*(1-EXP(-$B$7))+AD52*(1-EXP(-$C$7))+AF52*(1-EXP(-$D$7))+AH52*(1-EXP(-$E$7))+AJ52*(1-EXP(-$F$7))+AL52*(1-EXP(-$G$7))</f>
        <v>0</v>
      </c>
      <c r="AN53" s="6" t="n">
        <f aca="false">AM53*$B$11*16/12*(1-$B$12)*SUPUESTOS_FE!$B$9</f>
        <v>0</v>
      </c>
      <c r="AO53" s="6" t="n">
        <f aca="false">Y53-AN53</f>
        <v>11437.0002280415</v>
      </c>
    </row>
    <row r="54" customFormat="false" ht="15" hidden="false" customHeight="false" outlineLevel="0" collapsed="false">
      <c r="A54" s="51" t="n">
        <v>2023</v>
      </c>
      <c r="B54" s="25" t="n">
        <f aca="false">SUPUESTOS_FE!$B$5*(1+$B$15)^(A54-2022)</f>
        <v>48265.398</v>
      </c>
      <c r="C54" s="25" t="n">
        <f aca="false">IF(A54&gt;=$B$14,B54*$B$16*365/1000*$B$17,0)</f>
        <v>14269.6649187</v>
      </c>
      <c r="D54" s="6" t="n">
        <f aca="false">C54*$B$5*$B$6*$B$9*$B$10</f>
        <v>392.344436939657</v>
      </c>
      <c r="E54" s="6" t="n">
        <f aca="false">D54+E53*EXP(-$B$7)</f>
        <v>4536.42581310321</v>
      </c>
      <c r="F54" s="6" t="n">
        <f aca="false">E53*(1-EXP(-$B$7))</f>
        <v>256.255680904896</v>
      </c>
      <c r="G54" s="6" t="n">
        <f aca="false">C54*$C$5*$C$6*$B$9*$B$10</f>
        <v>209.76407430489</v>
      </c>
      <c r="H54" s="6" t="n">
        <f aca="false">G54+H53*EXP(-$C$7)</f>
        <v>2630.71585269703</v>
      </c>
      <c r="I54" s="6" t="n">
        <f aca="false">H53*(1-EXP(-$C$7))</f>
        <v>124.12485195165</v>
      </c>
      <c r="J54" s="6" t="n">
        <f aca="false">C54*$D$5*$D$6*$B$9*$B$10</f>
        <v>444.928152165066</v>
      </c>
      <c r="K54" s="6" t="n">
        <f aca="false">J54+K53*EXP(-$D$7)</f>
        <v>6076.51680695878</v>
      </c>
      <c r="L54" s="6" t="n">
        <f aca="false">K53*(1-EXP(-$D$7))</f>
        <v>229.829492935202</v>
      </c>
      <c r="M54" s="6" t="n">
        <f aca="false">C54*$E$5*$E$6*$B$9*$B$10</f>
        <v>8.5903382810574</v>
      </c>
      <c r="N54" s="6" t="n">
        <f aca="false">M54+N53*EXP(-$E$7)</f>
        <v>140.861526733606</v>
      </c>
      <c r="O54" s="6" t="n">
        <f aca="false">N53*(1-EXP(-$E$7))</f>
        <v>2.67205525367303</v>
      </c>
      <c r="P54" s="6" t="n">
        <f aca="false">C54*$F$5*$F$6*$B$9*$B$10</f>
        <v>17.4660698604888</v>
      </c>
      <c r="Q54" s="6" t="n">
        <f aca="false">P54+Q53*EXP(-$F$7)</f>
        <v>238.539338413007</v>
      </c>
      <c r="R54" s="6" t="n">
        <f aca="false">Q53*(1-EXP(-$F$7))</f>
        <v>9.02217124287002</v>
      </c>
      <c r="S54" s="6" t="n">
        <f aca="false">C54*$G$5*$G$6*$B$9*$B$10</f>
        <v>161.304292240985</v>
      </c>
      <c r="T54" s="6" t="n">
        <f aca="false">S54+T53*EXP(-$G$7)</f>
        <v>2202.98094887306</v>
      </c>
      <c r="U54" s="6" t="n">
        <f aca="false">T53*(1-EXP(-$G$7))</f>
        <v>83.3224050076819</v>
      </c>
      <c r="V54" s="6" t="n">
        <f aca="false">F54+I54+L54+O54+R54+U54</f>
        <v>705.226657295973</v>
      </c>
      <c r="W54" s="6" t="n">
        <f aca="false">V54*$B$11*16/12</f>
        <v>470.151104863982</v>
      </c>
      <c r="X54" s="6" t="n">
        <f aca="false">(W54-$B$13)*(1-$B$12)</f>
        <v>423.135994377584</v>
      </c>
      <c r="Y54" s="6" t="n">
        <f aca="false">X54*SUPUESTOS_FE!$B$9</f>
        <v>11847.8078425723</v>
      </c>
      <c r="Z54" s="25" t="n">
        <f aca="false">IF(A54&gt;=CRITERIOS!$B$16,C54,0)</f>
        <v>14269.6649187</v>
      </c>
      <c r="AA54" s="6" t="n">
        <f aca="false">Z54*$B$5*$B$6*$B$9*$B$10</f>
        <v>392.344436939657</v>
      </c>
      <c r="AB54" s="6" t="n">
        <f aca="false">AA54+AB53*EXP(-$B$7)</f>
        <v>757.098707086597</v>
      </c>
      <c r="AC54" s="6" t="n">
        <f aca="false">Z54*$C$5*$C$6*$B$9*$B$10</f>
        <v>209.76407430489</v>
      </c>
      <c r="AD54" s="6" t="n">
        <f aca="false">AC54+AD53*EXP(-$C$7)</f>
        <v>406.737183566455</v>
      </c>
      <c r="AE54" s="6" t="n">
        <f aca="false">Z54*$D$5*$D$6*$B$9*$B$10</f>
        <v>444.928152165066</v>
      </c>
      <c r="AF54" s="6" t="n">
        <f aca="false">AE54+AF53*EXP(-$D$7)</f>
        <v>866.92446981734</v>
      </c>
      <c r="AG54" s="6" t="n">
        <f aca="false">Z54*$E$5*$E$6*$B$9*$B$10</f>
        <v>8.5903382810574</v>
      </c>
      <c r="AH54" s="6" t="n">
        <f aca="false">AG54+AH53*EXP(-$E$7)</f>
        <v>16.9025181293779</v>
      </c>
      <c r="AI54" s="6" t="n">
        <f aca="false">Z54*$F$5*$F$6*$B$9*$B$10</f>
        <v>17.4660698604888</v>
      </c>
      <c r="AJ54" s="6" t="n">
        <f aca="false">AI54+AJ53*EXP(-$F$7)</f>
        <v>34.031929155113</v>
      </c>
      <c r="AK54" s="6" t="n">
        <f aca="false">Z54*$G$5*$G$6*$B$9*$B$10</f>
        <v>161.304292240985</v>
      </c>
      <c r="AL54" s="6" t="n">
        <f aca="false">AK54+AL53*EXP(-$G$7)</f>
        <v>314.294875138397</v>
      </c>
      <c r="AM54" s="6" t="n">
        <f aca="false">AB53*(1-EXP(-$B$7))+AD53*(1-EXP(-$C$7))+AF53*(1-EXP(-$D$7))+AH53*(1-EXP(-$E$7))+AJ53*(1-EXP(-$F$7))+AL53*(1-EXP(-$G$7))</f>
        <v>56.9638149483644</v>
      </c>
      <c r="AN54" s="6" t="n">
        <f aca="false">AM54*$B$11*16/12*(1-$B$12)*SUPUESTOS_FE!$B$9</f>
        <v>956.992091132522</v>
      </c>
      <c r="AO54" s="6" t="n">
        <f aca="false">Y54-AN54</f>
        <v>10890.8157514398</v>
      </c>
    </row>
    <row r="55" customFormat="false" ht="15" hidden="false" customHeight="false" outlineLevel="0" collapsed="false">
      <c r="A55" s="51" t="n">
        <v>2024</v>
      </c>
      <c r="B55" s="25" t="n">
        <f aca="false">SUPUESTOS_FE!$B$5*(1+$B$15)^(A55-2022)</f>
        <v>48892.848174</v>
      </c>
      <c r="C55" s="25" t="n">
        <f aca="false">IF(A55&gt;=$B$14,B55*$B$16*365/1000*$B$17,0)</f>
        <v>14455.1705626431</v>
      </c>
      <c r="D55" s="6" t="n">
        <f aca="false">C55*$B$5*$B$6*$B$9*$B$10</f>
        <v>397.444914619872</v>
      </c>
      <c r="E55" s="6" t="n">
        <f aca="false">D55+E54*EXP(-$B$7)</f>
        <v>4669.68985463657</v>
      </c>
      <c r="F55" s="6" t="n">
        <f aca="false">E54*(1-EXP(-$B$7))</f>
        <v>264.180873086519</v>
      </c>
      <c r="G55" s="6" t="n">
        <f aca="false">C55*$C$5*$C$6*$B$9*$B$10</f>
        <v>212.491007270854</v>
      </c>
      <c r="H55" s="6" t="n">
        <f aca="false">G55+H54*EXP(-$C$7)</f>
        <v>2714.90533385676</v>
      </c>
      <c r="I55" s="6" t="n">
        <f aca="false">H54*(1-EXP(-$C$7))</f>
        <v>128.301526111129</v>
      </c>
      <c r="J55" s="6" t="n">
        <f aca="false">C55*$D$5*$D$6*$B$9*$B$10</f>
        <v>450.712218143212</v>
      </c>
      <c r="K55" s="6" t="n">
        <f aca="false">J55+K54*EXP(-$D$7)</f>
        <v>6288.9653931008</v>
      </c>
      <c r="L55" s="6" t="n">
        <f aca="false">K54*(1-EXP(-$D$7))</f>
        <v>238.263632001188</v>
      </c>
      <c r="M55" s="6" t="n">
        <f aca="false">C55*$E$5*$E$6*$B$9*$B$10</f>
        <v>8.70201267871115</v>
      </c>
      <c r="N55" s="6" t="n">
        <f aca="false">M55+N54*EXP(-$E$7)</f>
        <v>146.774294302955</v>
      </c>
      <c r="O55" s="6" t="n">
        <f aca="false">N54*(1-EXP(-$E$7))</f>
        <v>2.78924510936135</v>
      </c>
      <c r="P55" s="6" t="n">
        <f aca="false">C55*$F$5*$F$6*$B$9*$B$10</f>
        <v>17.6931287686752</v>
      </c>
      <c r="Q55" s="6" t="n">
        <f aca="false">P55+Q54*EXP(-$F$7)</f>
        <v>246.879205938274</v>
      </c>
      <c r="R55" s="6" t="n">
        <f aca="false">Q54*(1-EXP(-$F$7))</f>
        <v>9.35326124340777</v>
      </c>
      <c r="S55" s="6" t="n">
        <f aca="false">C55*$G$5*$G$6*$B$9*$B$10</f>
        <v>163.401248040118</v>
      </c>
      <c r="T55" s="6" t="n">
        <f aca="false">S55+T54*EXP(-$G$7)</f>
        <v>2280.00207837112</v>
      </c>
      <c r="U55" s="6" t="n">
        <f aca="false">T54*(1-EXP(-$G$7))</f>
        <v>86.38011854206</v>
      </c>
      <c r="V55" s="6" t="n">
        <f aca="false">F55+I55+L55+O55+R55+U55</f>
        <v>729.268656093666</v>
      </c>
      <c r="W55" s="6" t="n">
        <f aca="false">V55*$B$11*16/12</f>
        <v>486.179104062444</v>
      </c>
      <c r="X55" s="6" t="n">
        <f aca="false">(W55-$B$13)*(1-$B$12)</f>
        <v>437.561193656199</v>
      </c>
      <c r="Y55" s="6" t="n">
        <f aca="false">X55*SUPUESTOS_FE!$B$9</f>
        <v>12251.7134223736</v>
      </c>
      <c r="Z55" s="25" t="n">
        <f aca="false">IF(A55&gt;=CRITERIOS!$B$16,C55,0)</f>
        <v>14455.1705626431</v>
      </c>
      <c r="AA55" s="6" t="n">
        <f aca="false">Z55*$B$5*$B$6*$B$9*$B$10</f>
        <v>397.444914619872</v>
      </c>
      <c r="AB55" s="6" t="n">
        <f aca="false">AA55+AB54*EXP(-$B$7)</f>
        <v>1110.45362537652</v>
      </c>
      <c r="AC55" s="6" t="n">
        <f aca="false">Z55*$C$5*$C$6*$B$9*$B$10</f>
        <v>212.491007270854</v>
      </c>
      <c r="AD55" s="6" t="n">
        <f aca="false">AC55+AD54*EXP(-$C$7)</f>
        <v>599.391384317814</v>
      </c>
      <c r="AE55" s="6" t="n">
        <f aca="false">Z55*$D$5*$D$6*$B$9*$B$10</f>
        <v>450.712218143212</v>
      </c>
      <c r="AF55" s="6" t="n">
        <f aca="false">AE55+AF54*EXP(-$D$7)</f>
        <v>1283.64409328644</v>
      </c>
      <c r="AG55" s="6" t="n">
        <f aca="false">Z55*$E$5*$E$6*$B$9*$B$10</f>
        <v>8.70201267871115</v>
      </c>
      <c r="AH55" s="6" t="n">
        <f aca="false">AG55+AH54*EXP(-$E$7)</f>
        <v>25.2698385246708</v>
      </c>
      <c r="AI55" s="6" t="n">
        <f aca="false">Z55*$F$5*$F$6*$B$9*$B$10</f>
        <v>17.6931287686752</v>
      </c>
      <c r="AJ55" s="6" t="n">
        <f aca="false">AI55+AJ54*EXP(-$F$7)</f>
        <v>50.3906468948878</v>
      </c>
      <c r="AK55" s="6" t="n">
        <f aca="false">Z55*$G$5*$G$6*$B$9*$B$10</f>
        <v>163.401248040118</v>
      </c>
      <c r="AL55" s="6" t="n">
        <f aca="false">AK55+AL54*EXP(-$G$7)</f>
        <v>465.372444852787</v>
      </c>
      <c r="AM55" s="6" t="n">
        <f aca="false">AB54*(1-EXP(-$B$7))+AD54*(1-EXP(-$C$7))+AF54*(1-EXP(-$D$7))+AH54*(1-EXP(-$E$7))+AJ54*(1-EXP(-$F$7))+AL54*(1-EXP(-$G$7))</f>
        <v>111.912179161604</v>
      </c>
      <c r="AN55" s="6" t="n">
        <f aca="false">AM55*$B$11*16/12*(1-$B$12)*SUPUESTOS_FE!$B$9</f>
        <v>1880.12460991494</v>
      </c>
      <c r="AO55" s="6" t="n">
        <f aca="false">Y55-AN55</f>
        <v>10371.5888124586</v>
      </c>
    </row>
    <row r="56" customFormat="false" ht="15" hidden="false" customHeight="false" outlineLevel="0" collapsed="false">
      <c r="A56" s="51" t="n">
        <v>2025</v>
      </c>
      <c r="B56" s="25" t="n">
        <f aca="false">SUPUESTOS_FE!$B$5*(1+$B$15)^(A56-2022)</f>
        <v>49528.455200262</v>
      </c>
      <c r="C56" s="25" t="n">
        <f aca="false">IF(A56&gt;=$B$14,B56*$B$16*365/1000*$B$17,0)</f>
        <v>14643.0877799575</v>
      </c>
      <c r="D56" s="6" t="n">
        <f aca="false">C56*$B$5*$B$6*$B$9*$B$10</f>
        <v>402.61169850993</v>
      </c>
      <c r="E56" s="6" t="n">
        <f aca="false">D56+E55*EXP(-$B$7)</f>
        <v>4800.35998644483</v>
      </c>
      <c r="F56" s="6" t="n">
        <f aca="false">E55*(1-EXP(-$B$7))</f>
        <v>271.941566701662</v>
      </c>
      <c r="G56" s="6" t="n">
        <f aca="false">C56*$C$5*$C$6*$B$9*$B$10</f>
        <v>215.253390365375</v>
      </c>
      <c r="H56" s="6" t="n">
        <f aca="false">G56+H55*EXP(-$C$7)</f>
        <v>2797.75122866386</v>
      </c>
      <c r="I56" s="6" t="n">
        <f aca="false">H55*(1-EXP(-$C$7))</f>
        <v>132.407495558275</v>
      </c>
      <c r="J56" s="6" t="n">
        <f aca="false">C56*$D$5*$D$6*$B$9*$B$10</f>
        <v>456.571476979074</v>
      </c>
      <c r="K56" s="6" t="n">
        <f aca="false">J56+K55*EXP(-$D$7)</f>
        <v>6498.94300986476</v>
      </c>
      <c r="L56" s="6" t="n">
        <f aca="false">K55*(1-EXP(-$D$7))</f>
        <v>246.593860215113</v>
      </c>
      <c r="M56" s="6" t="n">
        <f aca="false">C56*$E$5*$E$6*$B$9*$B$10</f>
        <v>8.81513884353439</v>
      </c>
      <c r="N56" s="6" t="n">
        <f aca="false">M56+N55*EXP(-$E$7)</f>
        <v>152.683107394827</v>
      </c>
      <c r="O56" s="6" t="n">
        <f aca="false">N55*(1-EXP(-$E$7))</f>
        <v>2.90632575166327</v>
      </c>
      <c r="P56" s="6" t="n">
        <f aca="false">C56*$F$5*$F$6*$B$9*$B$10</f>
        <v>17.9231394426679</v>
      </c>
      <c r="Q56" s="6" t="n">
        <f aca="false">P56+Q55*EXP(-$F$7)</f>
        <v>255.122073254473</v>
      </c>
      <c r="R56" s="6" t="n">
        <f aca="false">Q55*(1-EXP(-$F$7))</f>
        <v>9.68027212646883</v>
      </c>
      <c r="S56" s="6" t="n">
        <f aca="false">C56*$G$5*$G$6*$B$9*$B$10</f>
        <v>165.525464264639</v>
      </c>
      <c r="T56" s="6" t="n">
        <f aca="false">S56+T55*EXP(-$G$7)</f>
        <v>2356.12738240896</v>
      </c>
      <c r="U56" s="6" t="n">
        <f aca="false">T55*(1-EXP(-$G$7))</f>
        <v>89.4001602268004</v>
      </c>
      <c r="V56" s="6" t="n">
        <f aca="false">F56+I56+L56+O56+R56+U56</f>
        <v>752.929680579983</v>
      </c>
      <c r="W56" s="6" t="n">
        <f aca="false">V56*$B$11*16/12</f>
        <v>501.953120386655</v>
      </c>
      <c r="X56" s="6" t="n">
        <f aca="false">(W56-$B$13)*(1-$B$12)</f>
        <v>451.75780834799</v>
      </c>
      <c r="Y56" s="6" t="n">
        <f aca="false">X56*SUPUESTOS_FE!$B$9</f>
        <v>12649.2186337437</v>
      </c>
      <c r="Z56" s="25" t="n">
        <f aca="false">IF(A56&gt;=CRITERIOS!$B$16,C56,0)</f>
        <v>14643.0877799575</v>
      </c>
      <c r="AA56" s="6" t="n">
        <f aca="false">Z56*$B$5*$B$6*$B$9*$B$10</f>
        <v>402.61169850993</v>
      </c>
      <c r="AB56" s="6" t="n">
        <f aca="false">AA56+AB55*EXP(-$B$7)</f>
        <v>1448.39753907959</v>
      </c>
      <c r="AC56" s="6" t="n">
        <f aca="false">Z56*$C$5*$C$6*$B$9*$B$10</f>
        <v>215.253390365375</v>
      </c>
      <c r="AD56" s="6" t="n">
        <f aca="false">AC56+AD55*EXP(-$C$7)</f>
        <v>785.412111920695</v>
      </c>
      <c r="AE56" s="6" t="n">
        <f aca="false">Z56*$D$5*$D$6*$B$9*$B$10</f>
        <v>456.571476979074</v>
      </c>
      <c r="AF56" s="6" t="n">
        <f aca="false">AE56+AF55*EXP(-$D$7)</f>
        <v>1689.88316543894</v>
      </c>
      <c r="AG56" s="6" t="n">
        <f aca="false">Z56*$E$5*$E$6*$B$9*$B$10</f>
        <v>8.81513884353439</v>
      </c>
      <c r="AH56" s="6" t="n">
        <f aca="false">AG56+AH55*EXP(-$E$7)</f>
        <v>33.5846010400926</v>
      </c>
      <c r="AI56" s="6" t="n">
        <f aca="false">Z56*$F$5*$F$6*$B$9*$B$10</f>
        <v>17.9231394426679</v>
      </c>
      <c r="AJ56" s="6" t="n">
        <f aca="false">AI56+AJ55*EXP(-$F$7)</f>
        <v>66.3379408113299</v>
      </c>
      <c r="AK56" s="6" t="n">
        <f aca="false">Z56*$G$5*$G$6*$B$9*$B$10</f>
        <v>165.525464264639</v>
      </c>
      <c r="AL56" s="6" t="n">
        <f aca="false">AK56+AL55*EXP(-$G$7)</f>
        <v>612.650394551694</v>
      </c>
      <c r="AM56" s="6" t="n">
        <f aca="false">AB55*(1-EXP(-$B$7))+AD55*(1-EXP(-$C$7))+AF55*(1-EXP(-$D$7))+AH55*(1-EXP(-$E$7))+AJ55*(1-EXP(-$F$7))+AL55*(1-EXP(-$G$7))</f>
        <v>164.956588815997</v>
      </c>
      <c r="AN56" s="6" t="n">
        <f aca="false">AM56*$B$11*16/12*(1-$B$12)*SUPUESTOS_FE!$B$9</f>
        <v>2771.27069210874</v>
      </c>
      <c r="AO56" s="6" t="n">
        <f aca="false">Y56-AN56</f>
        <v>9877.94794163497</v>
      </c>
    </row>
    <row r="57" customFormat="false" ht="15" hidden="false" customHeight="false" outlineLevel="0" collapsed="false">
      <c r="A57" s="51" t="n">
        <v>2026</v>
      </c>
      <c r="B57" s="25" t="n">
        <f aca="false">SUPUESTOS_FE!$B$5*(1+$B$15)^(A57-2022)</f>
        <v>50172.3251178654</v>
      </c>
      <c r="C57" s="25" t="n">
        <f aca="false">IF(A57&gt;=$B$14,B57*$B$16*365/1000*$B$17,0)</f>
        <v>14833.4479210969</v>
      </c>
      <c r="D57" s="6" t="n">
        <f aca="false">C57*$B$5*$B$6*$B$9*$B$10</f>
        <v>407.845650590559</v>
      </c>
      <c r="E57" s="6" t="n">
        <f aca="false">D57+E56*EXP(-$B$7)</f>
        <v>4928.65443426127</v>
      </c>
      <c r="F57" s="6" t="n">
        <f aca="false">E56*(1-EXP(-$B$7))</f>
        <v>279.551202774124</v>
      </c>
      <c r="G57" s="6" t="n">
        <f aca="false">C57*$C$5*$C$6*$B$9*$B$10</f>
        <v>218.051684440124</v>
      </c>
      <c r="H57" s="6" t="n">
        <f aca="false">G57+H56*EXP(-$C$7)</f>
        <v>2879.35497557821</v>
      </c>
      <c r="I57" s="6" t="n">
        <f aca="false">H56*(1-EXP(-$C$7))</f>
        <v>136.447937525771</v>
      </c>
      <c r="J57" s="6" t="n">
        <f aca="false">C57*$D$5*$D$6*$B$9*$B$10</f>
        <v>462.506906179802</v>
      </c>
      <c r="K57" s="6" t="n">
        <f aca="false">J57+K56*EXP(-$D$7)</f>
        <v>6706.62271571068</v>
      </c>
      <c r="L57" s="6" t="n">
        <f aca="false">K56*(1-EXP(-$D$7))</f>
        <v>254.827200333886</v>
      </c>
      <c r="M57" s="6" t="n">
        <f aca="false">C57*$E$5*$E$6*$B$9*$B$10</f>
        <v>8.92973564850034</v>
      </c>
      <c r="N57" s="6" t="n">
        <f aca="false">M57+N56*EXP(-$E$7)</f>
        <v>158.589514953262</v>
      </c>
      <c r="O57" s="6" t="n">
        <f aca="false">N56*(1-EXP(-$E$7))</f>
        <v>3.02332809006473</v>
      </c>
      <c r="P57" s="6" t="n">
        <f aca="false">C57*$F$5*$F$6*$B$9*$B$10</f>
        <v>18.1561402554226</v>
      </c>
      <c r="Q57" s="6" t="n">
        <f aca="false">P57+Q56*EXP(-$F$7)</f>
        <v>263.274733932966</v>
      </c>
      <c r="R57" s="6" t="n">
        <f aca="false">Q56*(1-EXP(-$F$7))</f>
        <v>10.00347957693</v>
      </c>
      <c r="S57" s="6" t="n">
        <f aca="false">C57*$G$5*$G$6*$B$9*$B$10</f>
        <v>167.677295300079</v>
      </c>
      <c r="T57" s="6" t="n">
        <f aca="false">S57+T56*EXP(-$G$7)</f>
        <v>2431.41960161621</v>
      </c>
      <c r="U57" s="6" t="n">
        <f aca="false">T56*(1-EXP(-$G$7))</f>
        <v>92.385076092824</v>
      </c>
      <c r="V57" s="6" t="n">
        <f aca="false">F57+I57+L57+O57+R57+U57</f>
        <v>776.2382243936</v>
      </c>
      <c r="W57" s="6" t="n">
        <f aca="false">V57*$B$11*16/12</f>
        <v>517.492149595733</v>
      </c>
      <c r="X57" s="6" t="n">
        <f aca="false">(W57-$B$13)*(1-$B$12)</f>
        <v>465.74293463616</v>
      </c>
      <c r="Y57" s="6" t="n">
        <f aca="false">X57*SUPUESTOS_FE!$B$9</f>
        <v>13040.8021698125</v>
      </c>
      <c r="Z57" s="25" t="n">
        <f aca="false">IF(A57&gt;=CRITERIOS!$B$16,C57,0)</f>
        <v>14833.4479210969</v>
      </c>
      <c r="AA57" s="6" t="n">
        <f aca="false">Z57*$B$5*$B$6*$B$9*$B$10</f>
        <v>407.845650590559</v>
      </c>
      <c r="AB57" s="6" t="n">
        <f aca="false">AA57+AB56*EXP(-$B$7)</f>
        <v>1771.89508342642</v>
      </c>
      <c r="AC57" s="6" t="n">
        <f aca="false">Z57*$C$5*$C$6*$B$9*$B$10</f>
        <v>218.051684440124</v>
      </c>
      <c r="AD57" s="6" t="n">
        <f aca="false">AC57+AD56*EXP(-$C$7)</f>
        <v>965.158795658338</v>
      </c>
      <c r="AE57" s="6" t="n">
        <f aca="false">Z57*$D$5*$D$6*$B$9*$B$10</f>
        <v>462.506906179802</v>
      </c>
      <c r="AF57" s="6" t="n">
        <f aca="false">AE57+AF56*EXP(-$D$7)</f>
        <v>2086.12880493484</v>
      </c>
      <c r="AG57" s="6" t="n">
        <f aca="false">Z57*$E$5*$E$6*$B$9*$B$10</f>
        <v>8.92973564850034</v>
      </c>
      <c r="AH57" s="6" t="n">
        <f aca="false">AG57+AH56*EXP(-$E$7)</f>
        <v>41.8493170315358</v>
      </c>
      <c r="AI57" s="6" t="n">
        <f aca="false">Z57*$F$5*$F$6*$B$9*$B$10</f>
        <v>18.1561402554226</v>
      </c>
      <c r="AJ57" s="6" t="n">
        <f aca="false">AI57+AJ56*EXP(-$F$7)</f>
        <v>81.8929332020603</v>
      </c>
      <c r="AK57" s="6" t="n">
        <f aca="false">Z57*$G$5*$G$6*$B$9*$B$10</f>
        <v>167.677295300079</v>
      </c>
      <c r="AL57" s="6" t="n">
        <f aca="false">AK57+AL56*EXP(-$G$7)</f>
        <v>756.305324277851</v>
      </c>
      <c r="AM57" s="6" t="n">
        <f aca="false">AB56*(1-EXP(-$B$7))+AD56*(1-EXP(-$C$7))+AF56*(1-EXP(-$D$7))+AH56*(1-EXP(-$E$7))+AJ56*(1-EXP(-$F$7))+AL56*(1-EXP(-$G$7))</f>
        <v>216.202906725788</v>
      </c>
      <c r="AN57" s="6" t="n">
        <f aca="false">AM57*$B$11*16/12*(1-$B$12)*SUPUESTOS_FE!$B$9</f>
        <v>3632.20883299324</v>
      </c>
      <c r="AO57" s="6" t="n">
        <f aca="false">Y57-AN57</f>
        <v>9408.59333681924</v>
      </c>
    </row>
    <row r="58" customFormat="false" ht="15" hidden="false" customHeight="false" outlineLevel="0" collapsed="false">
      <c r="A58" s="51" t="n">
        <v>2027</v>
      </c>
      <c r="B58" s="25" t="n">
        <f aca="false">SUPUESTOS_FE!$B$5*(1+$B$15)^(A58-2022)</f>
        <v>50824.5653443976</v>
      </c>
      <c r="C58" s="25" t="n">
        <f aca="false">IF(A58&gt;=$B$14,B58*$B$16*365/1000*$B$17,0)</f>
        <v>15026.2827440712</v>
      </c>
      <c r="D58" s="6" t="n">
        <f aca="false">C58*$B$5*$B$6*$B$9*$B$10</f>
        <v>413.147644048236</v>
      </c>
      <c r="E58" s="6" t="n">
        <f aca="false">D58+E57*EXP(-$B$7)</f>
        <v>5054.77958852824</v>
      </c>
      <c r="F58" s="6" t="n">
        <f aca="false">E57*(1-EXP(-$B$7))</f>
        <v>287.022489781266</v>
      </c>
      <c r="G58" s="6" t="n">
        <f aca="false">C58*$C$5*$C$6*$B$9*$B$10</f>
        <v>220.886356337846</v>
      </c>
      <c r="H58" s="6" t="n">
        <f aca="false">G58+H57*EXP(-$C$7)</f>
        <v>2959.81353269037</v>
      </c>
      <c r="I58" s="6" t="n">
        <f aca="false">H57*(1-EXP(-$C$7))</f>
        <v>140.427799225682</v>
      </c>
      <c r="J58" s="6" t="n">
        <f aca="false">C58*$D$5*$D$6*$B$9*$B$10</f>
        <v>468.519495960139</v>
      </c>
      <c r="K58" s="6" t="n">
        <f aca="false">J58+K57*EXP(-$D$7)</f>
        <v>6912.17177359403</v>
      </c>
      <c r="L58" s="6" t="n">
        <f aca="false">K57*(1-EXP(-$D$7))</f>
        <v>262.970438076785</v>
      </c>
      <c r="M58" s="6" t="n">
        <f aca="false">C58*$E$5*$E$6*$B$9*$B$10</f>
        <v>9.04582221193084</v>
      </c>
      <c r="N58" s="6" t="n">
        <f aca="false">M58+N57*EXP(-$E$7)</f>
        <v>164.49505436948</v>
      </c>
      <c r="O58" s="6" t="n">
        <f aca="false">N57*(1-EXP(-$E$7))</f>
        <v>3.14028279571277</v>
      </c>
      <c r="P58" s="6" t="n">
        <f aca="false">C58*$F$5*$F$6*$B$9*$B$10</f>
        <v>18.3921700787431</v>
      </c>
      <c r="Q58" s="6" t="n">
        <f aca="false">P58+Q57*EXP(-$F$7)</f>
        <v>271.343754037174</v>
      </c>
      <c r="R58" s="6" t="n">
        <f aca="false">Q57*(1-EXP(-$F$7))</f>
        <v>10.3231499745345</v>
      </c>
      <c r="S58" s="6" t="n">
        <f aca="false">C58*$G$5*$G$6*$B$9*$B$10</f>
        <v>169.85710013898</v>
      </c>
      <c r="T58" s="6" t="n">
        <f aca="false">S58+T57*EXP(-$G$7)</f>
        <v>2505.93937551979</v>
      </c>
      <c r="U58" s="6" t="n">
        <f aca="false">T57*(1-EXP(-$G$7))</f>
        <v>95.3373262354067</v>
      </c>
      <c r="V58" s="6" t="n">
        <f aca="false">F58+I58+L58+O58+R58+U58</f>
        <v>799.221486089387</v>
      </c>
      <c r="W58" s="6" t="n">
        <f aca="false">V58*$B$11*16/12</f>
        <v>532.814324059591</v>
      </c>
      <c r="X58" s="6" t="n">
        <f aca="false">(W58-$B$13)*(1-$B$12)</f>
        <v>479.532891653632</v>
      </c>
      <c r="Y58" s="6" t="n">
        <f aca="false">X58*SUPUESTOS_FE!$B$9</f>
        <v>13426.9209663017</v>
      </c>
      <c r="Z58" s="25" t="n">
        <f aca="false">IF(A58&gt;=CRITERIOS!$B$16,C58,0)</f>
        <v>15026.2827440712</v>
      </c>
      <c r="AA58" s="6" t="n">
        <f aca="false">Z58*$B$5*$B$6*$B$9*$B$10</f>
        <v>413.147644048236</v>
      </c>
      <c r="AB58" s="6" t="n">
        <f aca="false">AA58+AB57*EXP(-$B$7)</f>
        <v>2081.85559085154</v>
      </c>
      <c r="AC58" s="6" t="n">
        <f aca="false">Z58*$C$5*$C$6*$B$9*$B$10</f>
        <v>220.886356337846</v>
      </c>
      <c r="AD58" s="6" t="n">
        <f aca="false">AC58+AD57*EXP(-$C$7)</f>
        <v>1138.97380208373</v>
      </c>
      <c r="AE58" s="6" t="n">
        <f aca="false">Z58*$D$5*$D$6*$B$9*$B$10</f>
        <v>468.519495960139</v>
      </c>
      <c r="AF58" s="6" t="n">
        <f aca="false">AE58+AF57*EXP(-$D$7)</f>
        <v>2472.85002045299</v>
      </c>
      <c r="AG58" s="6" t="n">
        <f aca="false">Z58*$E$5*$E$6*$B$9*$B$10</f>
        <v>9.04582221193084</v>
      </c>
      <c r="AH58" s="6" t="n">
        <f aca="false">AG58+AH57*EXP(-$E$7)</f>
        <v>50.066467245036</v>
      </c>
      <c r="AI58" s="6" t="n">
        <f aca="false">Z58*$F$5*$F$6*$B$9*$B$10</f>
        <v>18.3921700787431</v>
      </c>
      <c r="AJ58" s="6" t="n">
        <f aca="false">AI58+AJ57*EXP(-$F$7)</f>
        <v>97.0740354404893</v>
      </c>
      <c r="AK58" s="6" t="n">
        <f aca="false">Z58*$G$5*$G$6*$B$9*$B$10</f>
        <v>169.85710013898</v>
      </c>
      <c r="AL58" s="6" t="n">
        <f aca="false">AK58+AL57*EXP(-$G$7)</f>
        <v>896.507268479813</v>
      </c>
      <c r="AM58" s="6" t="n">
        <f aca="false">AB57*(1-EXP(-$B$7))+AD57*(1-EXP(-$C$7))+AF57*(1-EXP(-$D$7))+AH57*(1-EXP(-$E$7))+AJ57*(1-EXP(-$F$7))+AL57*(1-EXP(-$G$7))</f>
        <v>265.751662753321</v>
      </c>
      <c r="AN58" s="6" t="n">
        <f aca="false">AM58*$B$11*16/12*(1-$B$12)*SUPUESTOS_FE!$B$9</f>
        <v>4464.62793425579</v>
      </c>
      <c r="AO58" s="6" t="n">
        <f aca="false">Y58-AN58</f>
        <v>8962.2930320459</v>
      </c>
    </row>
    <row r="59" customFormat="false" ht="15" hidden="false" customHeight="false" outlineLevel="0" collapsed="false">
      <c r="A59" s="51" t="n">
        <v>2028</v>
      </c>
      <c r="B59" s="25" t="n">
        <f aca="false">SUPUESTOS_FE!$B$5*(1+$B$15)^(A59-2022)</f>
        <v>51485.2846938748</v>
      </c>
      <c r="C59" s="25" t="n">
        <f aca="false">IF(A59&gt;=$B$14,B59*$B$16*365/1000*$B$17,0)</f>
        <v>15221.6244197441</v>
      </c>
      <c r="D59" s="6" t="n">
        <f aca="false">C59*$B$5*$B$6*$B$9*$B$10</f>
        <v>418.518563420864</v>
      </c>
      <c r="E59" s="6" t="n">
        <f aca="false">D59+E58*EXP(-$B$7)</f>
        <v>5178.93070498234</v>
      </c>
      <c r="F59" s="6" t="n">
        <f aca="false">E58*(1-EXP(-$B$7))</f>
        <v>294.367446966761</v>
      </c>
      <c r="G59" s="6" t="n">
        <f aca="false">C59*$C$5*$C$6*$B$9*$B$10</f>
        <v>223.757878970238</v>
      </c>
      <c r="H59" s="6" t="n">
        <f aca="false">G59+H58*EXP(-$C$7)</f>
        <v>3039.21960230073</v>
      </c>
      <c r="I59" s="6" t="n">
        <f aca="false">H58*(1-EXP(-$C$7))</f>
        <v>144.351809359884</v>
      </c>
      <c r="J59" s="6" t="n">
        <f aca="false">C59*$D$5*$D$6*$B$9*$B$10</f>
        <v>474.610249407621</v>
      </c>
      <c r="K59" s="6" t="n">
        <f aca="false">J59+K58*EXP(-$D$7)</f>
        <v>7115.75189108355</v>
      </c>
      <c r="L59" s="6" t="n">
        <f aca="false">K58*(1-EXP(-$D$7))</f>
        <v>271.030131918103</v>
      </c>
      <c r="M59" s="6" t="n">
        <f aca="false">C59*$E$5*$E$6*$B$9*$B$10</f>
        <v>9.16341790068594</v>
      </c>
      <c r="N59" s="6" t="n">
        <f aca="false">M59+N58*EXP(-$E$7)</f>
        <v>170.401251959173</v>
      </c>
      <c r="O59" s="6" t="n">
        <f aca="false">N58*(1-EXP(-$E$7))</f>
        <v>3.25722031099313</v>
      </c>
      <c r="P59" s="6" t="n">
        <f aca="false">C59*$F$5*$F$6*$B$9*$B$10</f>
        <v>18.6312682897668</v>
      </c>
      <c r="Q59" s="6" t="n">
        <f aca="false">P59+Q58*EXP(-$F$7)</f>
        <v>279.33548154863</v>
      </c>
      <c r="R59" s="6" t="n">
        <f aca="false">Q58*(1-EXP(-$F$7))</f>
        <v>10.6395407783117</v>
      </c>
      <c r="S59" s="6" t="n">
        <f aca="false">C59*$G$5*$G$6*$B$9*$B$10</f>
        <v>172.065242440787</v>
      </c>
      <c r="T59" s="6" t="n">
        <f aca="false">S59+T58*EXP(-$G$7)</f>
        <v>2579.74532959617</v>
      </c>
      <c r="U59" s="6" t="n">
        <f aca="false">T58*(1-EXP(-$G$7))</f>
        <v>98.2592883644079</v>
      </c>
      <c r="V59" s="6" t="n">
        <f aca="false">F59+I59+L59+O59+R59+U59</f>
        <v>821.905437698461</v>
      </c>
      <c r="W59" s="6" t="n">
        <f aca="false">V59*$B$11*16/12</f>
        <v>547.936958465641</v>
      </c>
      <c r="X59" s="6" t="n">
        <f aca="false">(W59-$B$13)*(1-$B$12)</f>
        <v>493.143262619077</v>
      </c>
      <c r="Y59" s="6" t="n">
        <f aca="false">X59*SUPUESTOS_FE!$B$9</f>
        <v>13808.0113533342</v>
      </c>
      <c r="Z59" s="25" t="n">
        <f aca="false">IF(A59&gt;=CRITERIOS!$B$16,C59,0)</f>
        <v>15221.6244197441</v>
      </c>
      <c r="AA59" s="6" t="n">
        <f aca="false">Z59*$B$5*$B$6*$B$9*$B$10</f>
        <v>418.518563420864</v>
      </c>
      <c r="AB59" s="6" t="n">
        <f aca="false">AA59+AB58*EXP(-$B$7)</f>
        <v>2379.13632292893</v>
      </c>
      <c r="AC59" s="6" t="n">
        <f aca="false">Z59*$C$5*$C$6*$B$9*$B$10</f>
        <v>223.757878970238</v>
      </c>
      <c r="AD59" s="6" t="n">
        <f aca="false">AC59+AD58*EXP(-$C$7)</f>
        <v>1307.18327324773</v>
      </c>
      <c r="AE59" s="6" t="n">
        <f aca="false">Z59*$D$5*$D$6*$B$9*$B$10</f>
        <v>474.610249407621</v>
      </c>
      <c r="AF59" s="6" t="n">
        <f aca="false">AE59+AF58*EXP(-$D$7)</f>
        <v>2850.49843366646</v>
      </c>
      <c r="AG59" s="6" t="n">
        <f aca="false">Z59*$E$5*$E$6*$B$9*$B$10</f>
        <v>9.16341790068594</v>
      </c>
      <c r="AH59" s="6" t="n">
        <f aca="false">AG59+AH58*EXP(-$E$7)</f>
        <v>58.2385026714263</v>
      </c>
      <c r="AI59" s="6" t="n">
        <f aca="false">Z59*$F$5*$F$6*$B$9*$B$10</f>
        <v>18.6312682897668</v>
      </c>
      <c r="AJ59" s="6" t="n">
        <f aca="false">AI59+AJ58*EXP(-$F$7)</f>
        <v>111.898976356887</v>
      </c>
      <c r="AK59" s="6" t="n">
        <f aca="false">Z59*$G$5*$G$6*$B$9*$B$10</f>
        <v>172.065242440787</v>
      </c>
      <c r="AL59" s="6" t="n">
        <f aca="false">AK59+AL58*EXP(-$G$7)</f>
        <v>1033.41995811949</v>
      </c>
      <c r="AM59" s="6" t="n">
        <f aca="false">AB58*(1-EXP(-$B$7))+AD58*(1-EXP(-$C$7))+AF58*(1-EXP(-$D$7))+AH58*(1-EXP(-$E$7))+AJ58*(1-EXP(-$F$7))+AL58*(1-EXP(-$G$7))</f>
        <v>313.69833799264</v>
      </c>
      <c r="AN59" s="6" t="n">
        <f aca="false">AM59*$B$11*16/12*(1-$B$12)*SUPUESTOS_FE!$B$9</f>
        <v>5270.13207827635</v>
      </c>
      <c r="AO59" s="6" t="n">
        <f aca="false">Y59-AN59</f>
        <v>8537.87927505781</v>
      </c>
    </row>
    <row r="60" customFormat="false" ht="15" hidden="false" customHeight="false" outlineLevel="0" collapsed="false">
      <c r="A60" s="51" t="n">
        <v>2029</v>
      </c>
      <c r="B60" s="25" t="n">
        <f aca="false">SUPUESTOS_FE!$B$5*(1+$B$15)^(A60-2022)</f>
        <v>52154.5933948952</v>
      </c>
      <c r="C60" s="25" t="n">
        <f aca="false">IF(A60&gt;=$B$14,B60*$B$16*365/1000*$B$17,0)</f>
        <v>15419.5055372008</v>
      </c>
      <c r="D60" s="6" t="n">
        <f aca="false">C60*$B$5*$B$6*$B$9*$B$10</f>
        <v>423.959304745335</v>
      </c>
      <c r="E60" s="6" t="n">
        <f aca="false">D60+E59*EXP(-$B$7)</f>
        <v>5301.29256458817</v>
      </c>
      <c r="F60" s="6" t="n">
        <f aca="false">E59*(1-EXP(-$B$7))</f>
        <v>301.597445139502</v>
      </c>
      <c r="G60" s="6" t="n">
        <f aca="false">C60*$C$5*$C$6*$B$9*$B$10</f>
        <v>226.666731396851</v>
      </c>
      <c r="H60" s="6" t="n">
        <f aca="false">G60+H59*EXP(-$C$7)</f>
        <v>3117.66184462466</v>
      </c>
      <c r="I60" s="6" t="n">
        <f aca="false">H59*(1-EXP(-$C$7))</f>
        <v>148.224489072918</v>
      </c>
      <c r="J60" s="6" t="n">
        <f aca="false">C60*$D$5*$D$6*$B$9*$B$10</f>
        <v>480.78018264992</v>
      </c>
      <c r="K60" s="6" t="n">
        <f aca="false">J60+K59*EXP(-$D$7)</f>
        <v>7317.51945123117</v>
      </c>
      <c r="L60" s="6" t="n">
        <f aca="false">K59*(1-EXP(-$D$7))</f>
        <v>279.012622502303</v>
      </c>
      <c r="M60" s="6" t="n">
        <f aca="false">C60*$E$5*$E$6*$B$9*$B$10</f>
        <v>9.28254233339485</v>
      </c>
      <c r="N60" s="6" t="n">
        <f aca="false">M60+N59*EXP(-$E$7)</f>
        <v>176.309623433586</v>
      </c>
      <c r="O60" s="6" t="n">
        <f aca="false">N59*(1-EXP(-$E$7))</f>
        <v>3.3741708589815</v>
      </c>
      <c r="P60" s="6" t="n">
        <f aca="false">C60*$F$5*$F$6*$B$9*$B$10</f>
        <v>18.8734747775337</v>
      </c>
      <c r="Q60" s="6" t="n">
        <f aca="false">P60+Q59*EXP(-$F$7)</f>
        <v>287.256055429986</v>
      </c>
      <c r="R60" s="6" t="n">
        <f aca="false">Q59*(1-EXP(-$F$7))</f>
        <v>10.9529008961776</v>
      </c>
      <c r="S60" s="6" t="n">
        <f aca="false">C60*$G$5*$G$6*$B$9*$B$10</f>
        <v>174.302090592517</v>
      </c>
      <c r="T60" s="6" t="n">
        <f aca="false">S60+T59*EXP(-$G$7)</f>
        <v>2652.89415897104</v>
      </c>
      <c r="U60" s="6" t="n">
        <f aca="false">T59*(1-EXP(-$G$7))</f>
        <v>101.153261217641</v>
      </c>
      <c r="V60" s="6" t="n">
        <f aca="false">F60+I60+L60+O60+R60+U60</f>
        <v>844.314889687523</v>
      </c>
      <c r="W60" s="6" t="n">
        <f aca="false">V60*$B$11*16/12</f>
        <v>562.876593125015</v>
      </c>
      <c r="X60" s="6" t="n">
        <f aca="false">(W60-$B$13)*(1-$B$12)</f>
        <v>506.588933812514</v>
      </c>
      <c r="Y60" s="6" t="n">
        <f aca="false">X60*SUPUESTOS_FE!$B$9</f>
        <v>14184.4901467504</v>
      </c>
      <c r="Z60" s="25" t="n">
        <f aca="false">IF(A60&gt;=CRITERIOS!$B$16,C60,0)</f>
        <v>15419.5055372008</v>
      </c>
      <c r="AA60" s="6" t="n">
        <f aca="false">Z60*$B$5*$B$6*$B$9*$B$10</f>
        <v>423.959304745335</v>
      </c>
      <c r="AB60" s="6" t="n">
        <f aca="false">AA60+AB59*EXP(-$B$7)</f>
        <v>2664.54551424184</v>
      </c>
      <c r="AC60" s="6" t="n">
        <f aca="false">Z60*$C$5*$C$6*$B$9*$B$10</f>
        <v>226.666731396851</v>
      </c>
      <c r="AD60" s="6" t="n">
        <f aca="false">AC60+AD59*EXP(-$C$7)</f>
        <v>1470.09792412525</v>
      </c>
      <c r="AE60" s="6" t="n">
        <f aca="false">Z60*$D$5*$D$6*$B$9*$B$10</f>
        <v>480.78018264992</v>
      </c>
      <c r="AF60" s="6" t="n">
        <f aca="false">AE60+AF59*EXP(-$D$7)</f>
        <v>3219.50897403689</v>
      </c>
      <c r="AG60" s="6" t="n">
        <f aca="false">Z60*$E$5*$E$6*$B$9*$B$10</f>
        <v>9.28254233339485</v>
      </c>
      <c r="AH60" s="6" t="n">
        <f aca="false">AG60+AH59*EXP(-$E$7)</f>
        <v>66.3678453872989</v>
      </c>
      <c r="AI60" s="6" t="n">
        <f aca="false">Z60*$F$5*$F$6*$B$9*$B$10</f>
        <v>18.8734747775337</v>
      </c>
      <c r="AJ60" s="6" t="n">
        <f aca="false">AI60+AJ59*EXP(-$F$7)</f>
        <v>126.384829513186</v>
      </c>
      <c r="AK60" s="6" t="n">
        <f aca="false">Z60*$G$5*$G$6*$B$9*$B$10</f>
        <v>174.302090592517</v>
      </c>
      <c r="AL60" s="6" t="n">
        <f aca="false">AK60+AL59*EXP(-$G$7)</f>
        <v>1167.20107256296</v>
      </c>
      <c r="AM60" s="6" t="n">
        <f aca="false">AB59*(1-EXP(-$B$7))+AD59*(1-EXP(-$C$7))+AF59*(1-EXP(-$D$7))+AH59*(1-EXP(-$E$7))+AJ59*(1-EXP(-$F$7))+AL59*(1-EXP(-$G$7))</f>
        <v>360.133633619044</v>
      </c>
      <c r="AN60" s="6" t="n">
        <f aca="false">AM60*$B$11*16/12*(1-$B$12)*SUPUESTOS_FE!$B$9</f>
        <v>6050.24504479995</v>
      </c>
      <c r="AO60" s="6" t="n">
        <f aca="false">Y60-AN60</f>
        <v>8134.24510195043</v>
      </c>
    </row>
    <row r="61" customFormat="false" ht="15" hidden="false" customHeight="false" outlineLevel="0" collapsed="false">
      <c r="A61" s="51" t="n">
        <v>2030</v>
      </c>
      <c r="B61" s="25" t="n">
        <f aca="false">SUPUESTOS_FE!$B$5*(1+$B$15)^(A61-2022)</f>
        <v>52832.6031090288</v>
      </c>
      <c r="C61" s="25" t="n">
        <f aca="false">IF(A61&gt;=$B$14,B61*$B$16*365/1000*$B$17,0)</f>
        <v>15619.9591091844</v>
      </c>
      <c r="D61" s="6" t="n">
        <f aca="false">C61*$B$5*$B$6*$B$9*$B$10</f>
        <v>429.470775707024</v>
      </c>
      <c r="E61" s="6" t="n">
        <f aca="false">D61+E60*EXP(-$B$7)</f>
        <v>5422.04009519005</v>
      </c>
      <c r="F61" s="6" t="n">
        <f aca="false">E60*(1-EXP(-$B$7))</f>
        <v>308.723245105147</v>
      </c>
      <c r="G61" s="6" t="n">
        <f aca="false">C61*$C$5*$C$6*$B$9*$B$10</f>
        <v>229.61339890501</v>
      </c>
      <c r="H61" s="6" t="n">
        <f aca="false">G61+H60*EXP(-$C$7)</f>
        <v>3195.22508115516</v>
      </c>
      <c r="I61" s="6" t="n">
        <f aca="false">H60*(1-EXP(-$C$7))</f>
        <v>152.05016237451</v>
      </c>
      <c r="J61" s="6" t="n">
        <f aca="false">C61*$D$5*$D$6*$B$9*$B$10</f>
        <v>487.030325024369</v>
      </c>
      <c r="K61" s="6" t="n">
        <f aca="false">J61+K60*EXP(-$D$7)</f>
        <v>7517.62573455898</v>
      </c>
      <c r="L61" s="6" t="n">
        <f aca="false">K60*(1-EXP(-$D$7))</f>
        <v>286.924041696558</v>
      </c>
      <c r="M61" s="6" t="n">
        <f aca="false">C61*$E$5*$E$6*$B$9*$B$10</f>
        <v>9.40321538372899</v>
      </c>
      <c r="N61" s="6" t="n">
        <f aca="false">M61+N60*EXP(-$E$7)</f>
        <v>182.221674364544</v>
      </c>
      <c r="O61" s="6" t="n">
        <f aca="false">N60*(1-EXP(-$E$7))</f>
        <v>3.4911644527714</v>
      </c>
      <c r="P61" s="6" t="n">
        <f aca="false">C61*$F$5*$F$6*$B$9*$B$10</f>
        <v>19.1188299496417</v>
      </c>
      <c r="Q61" s="6" t="n">
        <f aca="false">P61+Q60*EXP(-$F$7)</f>
        <v>295.111414339326</v>
      </c>
      <c r="R61" s="6" t="n">
        <f aca="false">Q60*(1-EXP(-$F$7))</f>
        <v>11.2634710403011</v>
      </c>
      <c r="S61" s="6" t="n">
        <f aca="false">C61*$G$5*$G$6*$B$9*$B$10</f>
        <v>176.56801777022</v>
      </c>
      <c r="T61" s="6" t="n">
        <f aca="false">S61+T60*EXP(-$G$7)</f>
        <v>2725.44070889848</v>
      </c>
      <c r="U61" s="6" t="n">
        <f aca="false">T60*(1-EXP(-$G$7))</f>
        <v>104.021467842781</v>
      </c>
      <c r="V61" s="6" t="n">
        <f aca="false">F61+I61+L61+O61+R61+U61</f>
        <v>866.473552512068</v>
      </c>
      <c r="W61" s="6" t="n">
        <f aca="false">V61*$B$11*16/12</f>
        <v>577.649035008045</v>
      </c>
      <c r="X61" s="6" t="n">
        <f aca="false">(W61-$B$13)*(1-$B$12)</f>
        <v>519.884131507241</v>
      </c>
      <c r="Y61" s="6" t="n">
        <f aca="false">X61*SUPUESTOS_FE!$B$9</f>
        <v>14556.7556822027</v>
      </c>
      <c r="Z61" s="25" t="n">
        <f aca="false">IF(A61&gt;=CRITERIOS!$B$16,C61,0)</f>
        <v>15619.9591091844</v>
      </c>
      <c r="AA61" s="6" t="n">
        <f aca="false">Z61*$B$5*$B$6*$B$9*$B$10</f>
        <v>429.470775707024</v>
      </c>
      <c r="AB61" s="6" t="n">
        <f aca="false">AA61+AB60*EXP(-$B$7)</f>
        <v>2938.84523914099</v>
      </c>
      <c r="AC61" s="6" t="n">
        <f aca="false">Z61*$C$5*$C$6*$B$9*$B$10</f>
        <v>229.61339890501</v>
      </c>
      <c r="AD61" s="6" t="n">
        <f aca="false">AC61+AD60*EXP(-$C$7)</f>
        <v>1628.01380123037</v>
      </c>
      <c r="AE61" s="6" t="n">
        <f aca="false">Z61*$D$5*$D$6*$B$9*$B$10</f>
        <v>487.030325024369</v>
      </c>
      <c r="AF61" s="6" t="n">
        <f aca="false">AE61+AF60*EXP(-$D$7)</f>
        <v>3580.30054653514</v>
      </c>
      <c r="AG61" s="6" t="n">
        <f aca="false">Z61*$E$5*$E$6*$B$9*$B$10</f>
        <v>9.40321538372899</v>
      </c>
      <c r="AH61" s="6" t="n">
        <f aca="false">AG61+AH60*EXP(-$E$7)</f>
        <v>74.4568893825872</v>
      </c>
      <c r="AI61" s="6" t="n">
        <f aca="false">Z61*$F$5*$F$6*$B$9*$B$10</f>
        <v>19.1188299496417</v>
      </c>
      <c r="AJ61" s="6" t="n">
        <f aca="false">AI61+AJ60*EXP(-$F$7)</f>
        <v>140.548039414978</v>
      </c>
      <c r="AK61" s="6" t="n">
        <f aca="false">Z61*$G$5*$G$6*$B$9*$B$10</f>
        <v>176.56801777022</v>
      </c>
      <c r="AL61" s="6" t="n">
        <f aca="false">AK61+AL60*EXP(-$G$7)</f>
        <v>1298.00248165597</v>
      </c>
      <c r="AM61" s="6" t="n">
        <f aca="false">AB60*(1-EXP(-$B$7))+AD60*(1-EXP(-$C$7))+AF60*(1-EXP(-$D$7))+AH60*(1-EXP(-$E$7))+AJ60*(1-EXP(-$F$7))+AL60*(1-EXP(-$G$7))</f>
        <v>405.143725247375</v>
      </c>
      <c r="AN61" s="6" t="n">
        <f aca="false">AM61*$B$11*16/12*(1-$B$12)*SUPUESTOS_FE!$B$9</f>
        <v>6806.4145841559</v>
      </c>
      <c r="AO61" s="6" t="n">
        <f aca="false">Y61-AN61</f>
        <v>7750.34109804685</v>
      </c>
    </row>
    <row r="63" customFormat="false" ht="15" hidden="false" customHeight="false" outlineLevel="0" collapsed="false">
      <c r="A63" s="2"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6"/>
    <col collapsed="false" customWidth="true" hidden="false" outlineLevel="0" max="4" min="4" style="0" width="50"/>
  </cols>
  <sheetData>
    <row r="1" customFormat="false" ht="16.15" hidden="false" customHeight="false" outlineLevel="0" collapsed="false">
      <c r="A1" s="1" t="s">
        <v>427</v>
      </c>
    </row>
    <row r="3" customFormat="false" ht="15" hidden="false" customHeight="false" outlineLevel="0" collapsed="false">
      <c r="A3" s="15" t="s">
        <v>428</v>
      </c>
    </row>
    <row r="4" customFormat="false" ht="30" hidden="false" customHeight="true" outlineLevel="0" collapsed="false">
      <c r="A4" s="3" t="s">
        <v>77</v>
      </c>
      <c r="B4" s="3" t="s">
        <v>78</v>
      </c>
      <c r="C4" s="3" t="s">
        <v>29</v>
      </c>
      <c r="D4" s="3" t="s">
        <v>429</v>
      </c>
    </row>
    <row r="5" customFormat="false" ht="15" hidden="false" customHeight="false" outlineLevel="0" collapsed="false">
      <c r="A5" s="4" t="s">
        <v>430</v>
      </c>
      <c r="B5" s="5" t="n">
        <f aca="false">4A_RSU_FOD!$C$53</f>
        <v>14086.5399</v>
      </c>
      <c r="C5" s="4" t="s">
        <v>431</v>
      </c>
      <c r="D5" s="14" t="s">
        <v>432</v>
      </c>
    </row>
    <row r="6" customFormat="false" ht="23.85" hidden="false" customHeight="false" outlineLevel="0" collapsed="false">
      <c r="A6" s="4" t="s">
        <v>433</v>
      </c>
      <c r="B6" s="5" t="n">
        <f aca="false">4A_RSU_FOD!$X$53</f>
        <v>408.464293858627</v>
      </c>
      <c r="C6" s="4" t="s">
        <v>434</v>
      </c>
      <c r="D6" s="29" t="s">
        <v>435</v>
      </c>
    </row>
    <row r="7" customFormat="false" ht="15" hidden="false" customHeight="false" outlineLevel="0" collapsed="false">
      <c r="A7" s="4" t="s">
        <v>436</v>
      </c>
      <c r="B7" s="6" t="n">
        <f aca="false">B6/B5*1000</f>
        <v>28.9967796746614</v>
      </c>
      <c r="C7" s="4" t="s">
        <v>437</v>
      </c>
      <c r="D7" s="29" t="s">
        <v>438</v>
      </c>
    </row>
    <row r="8" customFormat="false" ht="15" hidden="false" customHeight="false" outlineLevel="0" collapsed="false">
      <c r="A8" s="4" t="s">
        <v>439</v>
      </c>
      <c r="B8" s="6" t="n">
        <f aca="false">4A_RSU_FOD!$Y$53-4A_RSU_FOD!$AN$53</f>
        <v>11437.0002280415</v>
      </c>
      <c r="C8" s="4" t="s">
        <v>31</v>
      </c>
    </row>
    <row r="9" customFormat="false" ht="15" hidden="false" customHeight="false" outlineLevel="0" collapsed="false">
      <c r="A9" s="4" t="s">
        <v>440</v>
      </c>
      <c r="B9" s="5" t="n">
        <f aca="false">4A_RSU_FOD!$AN$53</f>
        <v>0</v>
      </c>
      <c r="C9" s="4" t="s">
        <v>31</v>
      </c>
      <c r="D9" s="14" t="s">
        <v>441</v>
      </c>
    </row>
    <row r="11" customFormat="false" ht="15" hidden="false" customHeight="false" outlineLevel="0" collapsed="false">
      <c r="A11" s="43" t="s">
        <v>442</v>
      </c>
      <c r="B11" s="52" t="n">
        <f aca="false">4A_RSU_FOD!$Y$53</f>
        <v>11437.0002280415</v>
      </c>
      <c r="C11" s="4" t="s">
        <v>31</v>
      </c>
    </row>
    <row r="13" customFormat="false" ht="15" hidden="false" customHeight="false" outlineLevel="0" collapsed="false">
      <c r="A13" s="15" t="s">
        <v>443</v>
      </c>
    </row>
    <row r="14" customFormat="false" ht="30" hidden="false" customHeight="true" outlineLevel="0" collapsed="false">
      <c r="A14" s="3" t="s">
        <v>77</v>
      </c>
      <c r="B14" s="3" t="s">
        <v>78</v>
      </c>
      <c r="C14" s="3" t="s">
        <v>29</v>
      </c>
      <c r="D14" s="3" t="s">
        <v>429</v>
      </c>
    </row>
    <row r="15" customFormat="false" ht="15" hidden="false" customHeight="false" outlineLevel="0" collapsed="false">
      <c r="A15" s="4" t="s">
        <v>444</v>
      </c>
      <c r="B15" s="6" t="n">
        <f aca="false">SUPUESTOS_FE!$B$5*SUPUESTOS_FE!$B$29*365/1000000</f>
        <v>939.10266</v>
      </c>
      <c r="C15" s="4" t="s">
        <v>445</v>
      </c>
      <c r="D15" s="29" t="s">
        <v>446</v>
      </c>
    </row>
    <row r="16" customFormat="false" ht="15" hidden="false" customHeight="false" outlineLevel="0" collapsed="false">
      <c r="A16" s="4" t="s">
        <v>447</v>
      </c>
      <c r="B16" s="6" t="n">
        <f aca="false">B15*SUPUESTOS_FE!$B$30</f>
        <v>187.820532</v>
      </c>
      <c r="C16" s="4" t="s">
        <v>445</v>
      </c>
      <c r="D16" s="29" t="s">
        <v>448</v>
      </c>
    </row>
    <row r="17" customFormat="false" ht="15" hidden="false" customHeight="false" outlineLevel="0" collapsed="false">
      <c r="A17" s="4" t="s">
        <v>449</v>
      </c>
      <c r="B17" s="17" t="n">
        <f aca="false">CRITERIOS!$B$10</f>
        <v>0.99</v>
      </c>
      <c r="C17" s="4" t="s">
        <v>101</v>
      </c>
      <c r="D17" s="29" t="s">
        <v>376</v>
      </c>
    </row>
    <row r="18" customFormat="false" ht="15" hidden="false" customHeight="false" outlineLevel="0" collapsed="false">
      <c r="A18" s="4" t="s">
        <v>450</v>
      </c>
      <c r="B18" s="6" t="n">
        <f aca="false">(B15*B17)+B16</f>
        <v>1117.5321654</v>
      </c>
      <c r="C18" s="4" t="s">
        <v>445</v>
      </c>
      <c r="D18" s="29" t="s">
        <v>451</v>
      </c>
    </row>
    <row r="19" customFormat="false" ht="15" hidden="false" customHeight="false" outlineLevel="0" collapsed="false">
      <c r="A19" s="4" t="s">
        <v>452</v>
      </c>
      <c r="B19" s="6" t="n">
        <f aca="false">B15*(1-B17)</f>
        <v>9.39102660000001</v>
      </c>
      <c r="C19" s="4" t="s">
        <v>445</v>
      </c>
      <c r="D19" s="29"/>
    </row>
    <row r="20" customFormat="false" ht="15" hidden="false" customHeight="false" outlineLevel="0" collapsed="false">
      <c r="A20" s="4" t="s">
        <v>453</v>
      </c>
      <c r="B20" s="17" t="n">
        <f aca="false">CRITERIOS!$B$9</f>
        <v>0.6</v>
      </c>
      <c r="C20" s="4" t="s">
        <v>454</v>
      </c>
      <c r="D20" s="29" t="s">
        <v>376</v>
      </c>
    </row>
    <row r="21" customFormat="false" ht="15" hidden="false" customHeight="false" outlineLevel="0" collapsed="false">
      <c r="A21" s="4" t="s">
        <v>455</v>
      </c>
      <c r="B21" s="17" t="n">
        <f aca="false">CRITERIOS!$B$7</f>
        <v>0.03</v>
      </c>
      <c r="C21" s="4" t="s">
        <v>101</v>
      </c>
      <c r="D21" s="29" t="s">
        <v>376</v>
      </c>
    </row>
    <row r="22" customFormat="false" ht="15" hidden="false" customHeight="false" outlineLevel="0" collapsed="false">
      <c r="A22" s="4" t="s">
        <v>456</v>
      </c>
      <c r="B22" s="17" t="n">
        <f aca="false">CRITERIOS!$B$8</f>
        <v>0.5</v>
      </c>
      <c r="C22" s="4" t="s">
        <v>101</v>
      </c>
      <c r="D22" s="29" t="s">
        <v>376</v>
      </c>
    </row>
    <row r="23" customFormat="false" ht="15" hidden="false" customHeight="false" outlineLevel="0" collapsed="false">
      <c r="A23" s="4" t="s">
        <v>457</v>
      </c>
      <c r="B23" s="6" t="n">
        <f aca="false">B18*B20*B21</f>
        <v>20.1155789772</v>
      </c>
      <c r="C23" s="4" t="s">
        <v>434</v>
      </c>
      <c r="D23" s="29"/>
    </row>
    <row r="24" customFormat="false" ht="15" hidden="false" customHeight="false" outlineLevel="0" collapsed="false">
      <c r="A24" s="4" t="s">
        <v>458</v>
      </c>
      <c r="B24" s="6" t="n">
        <f aca="false">B19*B20*B22</f>
        <v>2.81730798</v>
      </c>
      <c r="C24" s="4" t="s">
        <v>434</v>
      </c>
      <c r="D24" s="29"/>
    </row>
    <row r="25" customFormat="false" ht="15" hidden="false" customHeight="false" outlineLevel="0" collapsed="false">
      <c r="A25" s="4" t="s">
        <v>459</v>
      </c>
      <c r="B25" s="53" t="n">
        <f aca="false">(B23+B24)*SUPUESTOS_FE!$B$9</f>
        <v>642.1208348016</v>
      </c>
      <c r="C25" s="4" t="s">
        <v>31</v>
      </c>
      <c r="D25" s="29" t="s">
        <v>460</v>
      </c>
    </row>
    <row r="27" customFormat="false" ht="15" hidden="false" customHeight="false" outlineLevel="0" collapsed="false">
      <c r="A27" s="15" t="s">
        <v>461</v>
      </c>
    </row>
    <row r="28" customFormat="false" ht="30" hidden="false" customHeight="true" outlineLevel="0" collapsed="false">
      <c r="A28" s="3" t="s">
        <v>77</v>
      </c>
      <c r="B28" s="3" t="s">
        <v>78</v>
      </c>
      <c r="C28" s="3" t="s">
        <v>29</v>
      </c>
      <c r="D28" s="3" t="s">
        <v>429</v>
      </c>
    </row>
    <row r="29" customFormat="false" ht="15" hidden="false" customHeight="false" outlineLevel="0" collapsed="false">
      <c r="A29" s="4" t="s">
        <v>462</v>
      </c>
      <c r="B29" s="6" t="n">
        <f aca="false">SUPUESTOS_FE!$B$5*SUPUESTOS_FE!$B$31/1000</f>
        <v>381.168</v>
      </c>
      <c r="C29" s="4" t="s">
        <v>463</v>
      </c>
      <c r="D29" s="29" t="s">
        <v>464</v>
      </c>
    </row>
    <row r="30" customFormat="false" ht="15" hidden="false" customHeight="false" outlineLevel="0" collapsed="false">
      <c r="A30" s="4" t="s">
        <v>465</v>
      </c>
      <c r="B30" s="6" t="n">
        <f aca="false">B29*SUPUESTOS_FE!$B$32*SUPUESTOS_FE!$B$13</f>
        <v>2.99489142857143</v>
      </c>
      <c r="C30" s="4" t="s">
        <v>466</v>
      </c>
      <c r="D30" s="29" t="s">
        <v>467</v>
      </c>
    </row>
    <row r="31" customFormat="false" ht="15" hidden="false" customHeight="false" outlineLevel="0" collapsed="false">
      <c r="A31" s="4" t="s">
        <v>468</v>
      </c>
      <c r="B31" s="53" t="n">
        <f aca="false">B30*SUPUESTOS_FE!$B$10</f>
        <v>793.646228571429</v>
      </c>
      <c r="C31" s="4" t="s">
        <v>31</v>
      </c>
      <c r="D31" s="29" t="s">
        <v>469</v>
      </c>
    </row>
    <row r="33" customFormat="false" ht="15" hidden="false" customHeight="false" outlineLevel="0" collapsed="false">
      <c r="A33" s="10" t="s">
        <v>470</v>
      </c>
      <c r="B33" s="12" t="n">
        <f aca="false">B11+B25+B31</f>
        <v>12872.7672914146</v>
      </c>
    </row>
    <row r="34" customFormat="false" ht="15" hidden="false" customHeight="false" outlineLevel="0" collapsed="false">
      <c r="A34" s="2" t="s">
        <v>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4"/>
    <col collapsed="false" customWidth="true" hidden="false" outlineLevel="0" max="4" min="4" style="0" width="16"/>
    <col collapsed="false" customWidth="true" hidden="false" outlineLevel="0" max="5" min="5" style="0" width="14"/>
    <col collapsed="false" customWidth="true" hidden="false" outlineLevel="0" max="6" min="6" style="0" width="46"/>
  </cols>
  <sheetData>
    <row r="1" customFormat="false" ht="16.15" hidden="false" customHeight="false" outlineLevel="0" collapsed="false">
      <c r="A1" s="1" t="s">
        <v>472</v>
      </c>
    </row>
    <row r="4" customFormat="false" ht="30" hidden="false" customHeight="true" outlineLevel="0" collapsed="false">
      <c r="A4" s="3" t="s">
        <v>338</v>
      </c>
      <c r="B4" s="3" t="s">
        <v>473</v>
      </c>
      <c r="C4" s="3" t="s">
        <v>29</v>
      </c>
      <c r="D4" s="3" t="s">
        <v>474</v>
      </c>
      <c r="E4" s="3" t="s">
        <v>290</v>
      </c>
      <c r="F4" s="3" t="s">
        <v>49</v>
      </c>
    </row>
    <row r="5" customFormat="false" ht="15" hidden="false" customHeight="false" outlineLevel="0" collapsed="false">
      <c r="A5" s="4" t="s">
        <v>475</v>
      </c>
      <c r="B5" s="9" t="n">
        <v>985</v>
      </c>
      <c r="C5" s="4" t="s">
        <v>476</v>
      </c>
      <c r="D5" s="16" t="n">
        <f aca="false">SUPUESTOS_FE!$B$11</f>
        <v>1430</v>
      </c>
      <c r="E5" s="6" t="n">
        <f aca="false">B5*D5/1000</f>
        <v>1408.55</v>
      </c>
      <c r="F5" s="14" t="s">
        <v>477</v>
      </c>
    </row>
    <row r="6" customFormat="false" ht="15" hidden="false" customHeight="false" outlineLevel="0" collapsed="false">
      <c r="A6" s="4" t="s">
        <v>478</v>
      </c>
      <c r="B6" s="9" t="n">
        <v>537.81</v>
      </c>
      <c r="C6" s="4" t="s">
        <v>476</v>
      </c>
      <c r="D6" s="16" t="n">
        <f aca="false">SUPUESTOS_FE!$B$12</f>
        <v>2088</v>
      </c>
      <c r="E6" s="6" t="n">
        <f aca="false">B6*D6/1000</f>
        <v>1122.94728</v>
      </c>
      <c r="F6" s="14" t="s">
        <v>479</v>
      </c>
    </row>
    <row r="7" customFormat="false" ht="39.75" hidden="false" customHeight="true" outlineLevel="0" collapsed="false">
      <c r="A7" s="4" t="s">
        <v>480</v>
      </c>
      <c r="B7" s="23" t="n">
        <v>8400</v>
      </c>
      <c r="C7" s="4" t="s">
        <v>431</v>
      </c>
      <c r="D7" s="54" t="n">
        <v>0.062</v>
      </c>
      <c r="E7" s="6" t="n">
        <f aca="false">B7*D7</f>
        <v>520.8</v>
      </c>
      <c r="F7" s="29" t="s">
        <v>481</v>
      </c>
    </row>
    <row r="8" customFormat="false" ht="15" hidden="false" customHeight="false" outlineLevel="0" collapsed="false">
      <c r="A8" s="10" t="s">
        <v>482</v>
      </c>
      <c r="E8" s="12" t="n">
        <f aca="false">SUM(E5:E7)+E12+E13</f>
        <v>3052.29728</v>
      </c>
    </row>
    <row r="9" customFormat="false" ht="15" hidden="false" customHeight="false" outlineLevel="0" collapsed="false">
      <c r="A9" s="4" t="s">
        <v>483</v>
      </c>
      <c r="E9" s="6" t="n">
        <f aca="false">E5+E6</f>
        <v>2531.49728</v>
      </c>
    </row>
    <row r="10" customFormat="false" ht="15" hidden="false" customHeight="false" outlineLevel="0" collapsed="false">
      <c r="A10" s="4" t="s">
        <v>484</v>
      </c>
      <c r="E10" s="6" t="n">
        <f aca="false">E7+E12+E13</f>
        <v>520.8</v>
      </c>
    </row>
    <row r="11" customFormat="false" ht="15" hidden="false" customHeight="false" outlineLevel="0" collapsed="false">
      <c r="A11" s="15" t="s">
        <v>485</v>
      </c>
    </row>
    <row r="12" customFormat="false" ht="23.85" hidden="false" customHeight="false" outlineLevel="0" collapsed="false">
      <c r="A12" s="4" t="s">
        <v>486</v>
      </c>
      <c r="B12" s="6" t="n">
        <f aca="false">420*(0.7*0.785+0.3*0.593)</f>
        <v>305.508</v>
      </c>
      <c r="C12" s="4" t="s">
        <v>487</v>
      </c>
      <c r="D12" s="55" t="str">
        <f aca="false">CRITERIOS!$B$13</f>
        <v>NO</v>
      </c>
      <c r="E12" s="6" t="n">
        <f aca="false">IF(D12="SI",B12,0)</f>
        <v>0</v>
      </c>
      <c r="F12" s="29" t="s">
        <v>488</v>
      </c>
    </row>
    <row r="13" customFormat="false" ht="23.85" hidden="false" customHeight="false" outlineLevel="0" collapsed="false">
      <c r="A13" s="4" t="s">
        <v>489</v>
      </c>
      <c r="B13" s="6" t="n">
        <f aca="false">(41.2+27.2)*4.2</f>
        <v>287.28</v>
      </c>
      <c r="C13" s="4" t="s">
        <v>490</v>
      </c>
      <c r="D13" s="55" t="str">
        <f aca="false">CRITERIOS!$B$14</f>
        <v>NO</v>
      </c>
      <c r="E13" s="6" t="n">
        <f aca="false">IF(D13="SI",B13,0)</f>
        <v>0</v>
      </c>
      <c r="F13" s="29" t="s">
        <v>491</v>
      </c>
    </row>
    <row r="15" customFormat="false" ht="23.85" hidden="false" customHeight="false" outlineLevel="0" collapsed="false">
      <c r="A15" s="43" t="s">
        <v>492</v>
      </c>
      <c r="B15" s="6" t="n">
        <f aca="false">41.2+27.2</f>
        <v>68.4</v>
      </c>
      <c r="C15" s="4" t="s">
        <v>493</v>
      </c>
      <c r="F15" s="29" t="s">
        <v>494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64"/>
    <col collapsed="false" customWidth="true" hidden="false" outlineLevel="0" max="4" min="4" style="0" width="18"/>
    <col collapsed="false" customWidth="true" hidden="false" outlineLevel="0" max="5" min="5" style="0" width="60"/>
  </cols>
  <sheetData>
    <row r="1" customFormat="false" ht="16.15" hidden="false" customHeight="false" outlineLevel="0" collapsed="false">
      <c r="A1" s="1" t="s">
        <v>495</v>
      </c>
    </row>
    <row r="3" customFormat="false" ht="30" hidden="false" customHeight="true" outlineLevel="0" collapsed="false">
      <c r="A3" s="3" t="s">
        <v>496</v>
      </c>
      <c r="B3" s="3" t="s">
        <v>497</v>
      </c>
      <c r="C3" s="3" t="s">
        <v>498</v>
      </c>
      <c r="D3" s="3" t="s">
        <v>499</v>
      </c>
      <c r="E3" s="3" t="s">
        <v>500</v>
      </c>
    </row>
    <row r="4" customFormat="false" ht="30" hidden="false" customHeight="true" outlineLevel="0" collapsed="false">
      <c r="A4" s="4" t="s">
        <v>501</v>
      </c>
      <c r="B4" s="4" t="s">
        <v>502</v>
      </c>
      <c r="C4" s="27" t="s">
        <v>503</v>
      </c>
      <c r="D4" s="11" t="s">
        <v>504</v>
      </c>
      <c r="E4" s="29" t="s">
        <v>505</v>
      </c>
    </row>
    <row r="5" customFormat="false" ht="30" hidden="false" customHeight="true" outlineLevel="0" collapsed="false">
      <c r="A5" s="4" t="s">
        <v>506</v>
      </c>
      <c r="B5" s="4" t="s">
        <v>502</v>
      </c>
      <c r="C5" s="27" t="s">
        <v>507</v>
      </c>
      <c r="D5" s="11" t="s">
        <v>504</v>
      </c>
      <c r="E5" s="29" t="s">
        <v>508</v>
      </c>
    </row>
    <row r="6" customFormat="false" ht="30" hidden="false" customHeight="true" outlineLevel="0" collapsed="false">
      <c r="A6" s="4" t="s">
        <v>509</v>
      </c>
      <c r="B6" s="4" t="s">
        <v>502</v>
      </c>
      <c r="C6" s="27" t="s">
        <v>510</v>
      </c>
      <c r="D6" s="11" t="s">
        <v>504</v>
      </c>
      <c r="E6" s="29" t="s">
        <v>511</v>
      </c>
    </row>
    <row r="7" customFormat="false" ht="30" hidden="false" customHeight="true" outlineLevel="0" collapsed="false">
      <c r="A7" s="4" t="s">
        <v>512</v>
      </c>
      <c r="B7" s="4" t="s">
        <v>502</v>
      </c>
      <c r="C7" s="27" t="s">
        <v>513</v>
      </c>
      <c r="D7" s="11" t="s">
        <v>504</v>
      </c>
      <c r="E7" s="29" t="s">
        <v>514</v>
      </c>
    </row>
    <row r="8" customFormat="false" ht="30" hidden="false" customHeight="true" outlineLevel="0" collapsed="false">
      <c r="A8" s="4" t="s">
        <v>515</v>
      </c>
      <c r="B8" s="4" t="s">
        <v>502</v>
      </c>
      <c r="C8" s="27" t="s">
        <v>516</v>
      </c>
      <c r="D8" s="11" t="s">
        <v>504</v>
      </c>
      <c r="E8" s="29" t="s">
        <v>517</v>
      </c>
    </row>
    <row r="9" customFormat="false" ht="30" hidden="false" customHeight="true" outlineLevel="0" collapsed="false">
      <c r="A9" s="4" t="s">
        <v>518</v>
      </c>
      <c r="B9" s="4" t="s">
        <v>502</v>
      </c>
      <c r="C9" s="27" t="s">
        <v>519</v>
      </c>
      <c r="D9" s="11" t="s">
        <v>504</v>
      </c>
      <c r="E9" s="29" t="s">
        <v>520</v>
      </c>
    </row>
    <row r="10" customFormat="false" ht="30" hidden="false" customHeight="true" outlineLevel="0" collapsed="false">
      <c r="A10" s="4" t="s">
        <v>521</v>
      </c>
      <c r="B10" s="4" t="s">
        <v>502</v>
      </c>
      <c r="C10" s="27" t="s">
        <v>522</v>
      </c>
      <c r="D10" s="11" t="s">
        <v>504</v>
      </c>
      <c r="E10" s="29" t="s">
        <v>523</v>
      </c>
    </row>
    <row r="11" customFormat="false" ht="30" hidden="false" customHeight="true" outlineLevel="0" collapsed="false">
      <c r="A11" s="4" t="s">
        <v>524</v>
      </c>
      <c r="B11" s="4" t="s">
        <v>525</v>
      </c>
      <c r="C11" s="27" t="s">
        <v>526</v>
      </c>
      <c r="D11" s="11" t="s">
        <v>504</v>
      </c>
      <c r="E11" s="29" t="s">
        <v>527</v>
      </c>
    </row>
    <row r="12" customFormat="false" ht="30" hidden="false" customHeight="true" outlineLevel="0" collapsed="false">
      <c r="A12" s="4" t="s">
        <v>528</v>
      </c>
      <c r="B12" s="4" t="s">
        <v>525</v>
      </c>
      <c r="C12" s="27" t="s">
        <v>529</v>
      </c>
      <c r="D12" s="11" t="s">
        <v>504</v>
      </c>
      <c r="E12" s="29" t="s">
        <v>530</v>
      </c>
    </row>
    <row r="13" customFormat="false" ht="30" hidden="false" customHeight="true" outlineLevel="0" collapsed="false">
      <c r="A13" s="4" t="s">
        <v>531</v>
      </c>
      <c r="B13" s="4" t="s">
        <v>525</v>
      </c>
      <c r="C13" s="27" t="s">
        <v>532</v>
      </c>
      <c r="D13" s="11" t="s">
        <v>504</v>
      </c>
      <c r="E13" s="29" t="s">
        <v>533</v>
      </c>
    </row>
    <row r="14" customFormat="false" ht="30" hidden="false" customHeight="true" outlineLevel="0" collapsed="false">
      <c r="A14" s="4" t="s">
        <v>534</v>
      </c>
      <c r="B14" s="4" t="s">
        <v>525</v>
      </c>
      <c r="C14" s="27" t="s">
        <v>535</v>
      </c>
      <c r="D14" s="11" t="s">
        <v>504</v>
      </c>
      <c r="E14" s="29" t="s">
        <v>536</v>
      </c>
    </row>
    <row r="15" customFormat="false" ht="30" hidden="false" customHeight="true" outlineLevel="0" collapsed="false">
      <c r="A15" s="4" t="s">
        <v>537</v>
      </c>
      <c r="B15" s="4" t="s">
        <v>525</v>
      </c>
      <c r="C15" s="27" t="s">
        <v>538</v>
      </c>
      <c r="D15" s="56" t="s">
        <v>539</v>
      </c>
      <c r="E15" s="29" t="s">
        <v>540</v>
      </c>
    </row>
    <row r="16" customFormat="false" ht="30" hidden="false" customHeight="true" outlineLevel="0" collapsed="false">
      <c r="A16" s="4" t="s">
        <v>541</v>
      </c>
      <c r="B16" s="4" t="s">
        <v>525</v>
      </c>
      <c r="C16" s="27" t="s">
        <v>542</v>
      </c>
      <c r="D16" s="11" t="s">
        <v>504</v>
      </c>
      <c r="E16" s="29" t="s">
        <v>543</v>
      </c>
    </row>
    <row r="17" customFormat="false" ht="30" hidden="false" customHeight="true" outlineLevel="0" collapsed="false">
      <c r="A17" s="4" t="s">
        <v>544</v>
      </c>
      <c r="B17" s="4" t="s">
        <v>525</v>
      </c>
      <c r="C17" s="27" t="s">
        <v>545</v>
      </c>
      <c r="D17" s="11" t="s">
        <v>504</v>
      </c>
      <c r="E17" s="29" t="s">
        <v>546</v>
      </c>
    </row>
    <row r="18" customFormat="false" ht="30" hidden="false" customHeight="true" outlineLevel="0" collapsed="false">
      <c r="A18" s="4" t="s">
        <v>547</v>
      </c>
      <c r="B18" s="4" t="s">
        <v>525</v>
      </c>
      <c r="C18" s="27" t="s">
        <v>548</v>
      </c>
      <c r="D18" s="11" t="s">
        <v>504</v>
      </c>
      <c r="E18" s="29" t="s">
        <v>549</v>
      </c>
    </row>
    <row r="19" customFormat="false" ht="30" hidden="false" customHeight="true" outlineLevel="0" collapsed="false">
      <c r="A19" s="4" t="s">
        <v>550</v>
      </c>
      <c r="B19" s="4" t="s">
        <v>525</v>
      </c>
      <c r="C19" s="27" t="s">
        <v>551</v>
      </c>
      <c r="D19" s="11" t="s">
        <v>504</v>
      </c>
      <c r="E19" s="29" t="s">
        <v>552</v>
      </c>
    </row>
    <row r="20" customFormat="false" ht="30" hidden="false" customHeight="true" outlineLevel="0" collapsed="false">
      <c r="A20" s="4" t="s">
        <v>553</v>
      </c>
      <c r="B20" s="4" t="s">
        <v>554</v>
      </c>
      <c r="C20" s="27" t="s">
        <v>555</v>
      </c>
      <c r="D20" s="11" t="s">
        <v>504</v>
      </c>
      <c r="E20" s="29" t="s">
        <v>556</v>
      </c>
    </row>
    <row r="21" customFormat="false" ht="30" hidden="false" customHeight="true" outlineLevel="0" collapsed="false">
      <c r="A21" s="4" t="s">
        <v>557</v>
      </c>
      <c r="B21" s="4" t="s">
        <v>554</v>
      </c>
      <c r="C21" s="27" t="s">
        <v>558</v>
      </c>
      <c r="D21" s="11" t="s">
        <v>504</v>
      </c>
      <c r="E21" s="29" t="s">
        <v>559</v>
      </c>
    </row>
    <row r="22" customFormat="false" ht="30" hidden="false" customHeight="true" outlineLevel="0" collapsed="false">
      <c r="A22" s="4" t="s">
        <v>560</v>
      </c>
      <c r="B22" s="4" t="s">
        <v>554</v>
      </c>
      <c r="C22" s="27" t="s">
        <v>561</v>
      </c>
      <c r="D22" s="11" t="s">
        <v>504</v>
      </c>
      <c r="E22" s="29" t="s">
        <v>562</v>
      </c>
    </row>
    <row r="23" customFormat="false" ht="30" hidden="false" customHeight="true" outlineLevel="0" collapsed="false">
      <c r="A23" s="4" t="s">
        <v>563</v>
      </c>
      <c r="B23" s="4" t="s">
        <v>554</v>
      </c>
      <c r="C23" s="27" t="s">
        <v>564</v>
      </c>
      <c r="D23" s="11" t="s">
        <v>504</v>
      </c>
      <c r="E23" s="29" t="s">
        <v>565</v>
      </c>
    </row>
    <row r="24" customFormat="false" ht="30" hidden="false" customHeight="true" outlineLevel="0" collapsed="false">
      <c r="A24" s="4" t="s">
        <v>566</v>
      </c>
      <c r="B24" s="4" t="s">
        <v>554</v>
      </c>
      <c r="C24" s="27" t="s">
        <v>567</v>
      </c>
      <c r="D24" s="11" t="s">
        <v>504</v>
      </c>
      <c r="E24" s="29" t="s">
        <v>568</v>
      </c>
    </row>
    <row r="25" customFormat="false" ht="30" hidden="false" customHeight="true" outlineLevel="0" collapsed="false">
      <c r="A25" s="4" t="s">
        <v>569</v>
      </c>
      <c r="B25" s="4" t="s">
        <v>554</v>
      </c>
      <c r="C25" s="27" t="s">
        <v>570</v>
      </c>
      <c r="D25" s="11" t="s">
        <v>504</v>
      </c>
      <c r="E25" s="29" t="s">
        <v>571</v>
      </c>
    </row>
    <row r="26" customFormat="false" ht="30" hidden="false" customHeight="true" outlineLevel="0" collapsed="false">
      <c r="A26" s="4" t="s">
        <v>572</v>
      </c>
      <c r="B26" s="4" t="s">
        <v>554</v>
      </c>
      <c r="C26" s="27" t="s">
        <v>573</v>
      </c>
      <c r="D26" s="11" t="s">
        <v>504</v>
      </c>
      <c r="E26" s="29" t="s">
        <v>574</v>
      </c>
    </row>
    <row r="27" customFormat="false" ht="30" hidden="false" customHeight="true" outlineLevel="0" collapsed="false">
      <c r="A27" s="4" t="s">
        <v>575</v>
      </c>
      <c r="B27" s="4" t="s">
        <v>554</v>
      </c>
      <c r="C27" s="27" t="s">
        <v>576</v>
      </c>
      <c r="D27" s="56" t="s">
        <v>577</v>
      </c>
      <c r="E27" s="29" t="s">
        <v>578</v>
      </c>
    </row>
    <row r="28" customFormat="false" ht="30" hidden="false" customHeight="true" outlineLevel="0" collapsed="false">
      <c r="A28" s="4" t="s">
        <v>579</v>
      </c>
      <c r="B28" s="4" t="s">
        <v>502</v>
      </c>
      <c r="C28" s="27" t="s">
        <v>580</v>
      </c>
      <c r="D28" s="11" t="s">
        <v>504</v>
      </c>
      <c r="E28" s="29" t="s">
        <v>581</v>
      </c>
    </row>
    <row r="29" customFormat="false" ht="30" hidden="false" customHeight="true" outlineLevel="0" collapsed="false">
      <c r="A29" s="4" t="s">
        <v>582</v>
      </c>
      <c r="B29" s="4" t="s">
        <v>525</v>
      </c>
      <c r="C29" s="27" t="s">
        <v>583</v>
      </c>
      <c r="D29" s="11" t="s">
        <v>504</v>
      </c>
      <c r="E29" s="29" t="s">
        <v>584</v>
      </c>
    </row>
    <row r="30" customFormat="false" ht="30" hidden="false" customHeight="true" outlineLevel="0" collapsed="false">
      <c r="A30" s="4" t="s">
        <v>585</v>
      </c>
      <c r="B30" s="4" t="s">
        <v>525</v>
      </c>
      <c r="C30" s="27" t="s">
        <v>586</v>
      </c>
      <c r="D30" s="11" t="s">
        <v>504</v>
      </c>
      <c r="E30" s="29" t="s">
        <v>587</v>
      </c>
    </row>
    <row r="31" customFormat="false" ht="30" hidden="false" customHeight="true" outlineLevel="0" collapsed="false">
      <c r="A31" s="4" t="s">
        <v>588</v>
      </c>
      <c r="B31" s="4" t="s">
        <v>525</v>
      </c>
      <c r="C31" s="27" t="s">
        <v>589</v>
      </c>
      <c r="D31" s="11" t="s">
        <v>504</v>
      </c>
      <c r="E31" s="29" t="s">
        <v>590</v>
      </c>
    </row>
    <row r="32" customFormat="false" ht="30" hidden="false" customHeight="true" outlineLevel="0" collapsed="false">
      <c r="A32" s="4" t="s">
        <v>591</v>
      </c>
      <c r="B32" s="4" t="s">
        <v>525</v>
      </c>
      <c r="C32" s="27" t="s">
        <v>592</v>
      </c>
      <c r="D32" s="11" t="s">
        <v>504</v>
      </c>
      <c r="E32" s="29" t="s">
        <v>593</v>
      </c>
    </row>
    <row r="33" customFormat="false" ht="30" hidden="false" customHeight="true" outlineLevel="0" collapsed="false">
      <c r="A33" s="4" t="s">
        <v>594</v>
      </c>
      <c r="B33" s="4" t="s">
        <v>554</v>
      </c>
      <c r="C33" s="27" t="s">
        <v>595</v>
      </c>
      <c r="D33" s="11" t="s">
        <v>504</v>
      </c>
      <c r="E33" s="29" t="s">
        <v>596</v>
      </c>
    </row>
    <row r="34" customFormat="false" ht="30" hidden="false" customHeight="true" outlineLevel="0" collapsed="false">
      <c r="A34" s="4" t="s">
        <v>597</v>
      </c>
      <c r="B34" s="4" t="s">
        <v>554</v>
      </c>
      <c r="C34" s="27" t="s">
        <v>598</v>
      </c>
      <c r="D34" s="11" t="s">
        <v>504</v>
      </c>
      <c r="E34" s="29" t="s">
        <v>599</v>
      </c>
    </row>
    <row r="35" customFormat="false" ht="30" hidden="false" customHeight="true" outlineLevel="0" collapsed="false">
      <c r="A35" s="4" t="s">
        <v>600</v>
      </c>
      <c r="B35" s="4" t="s">
        <v>525</v>
      </c>
      <c r="C35" s="27" t="s">
        <v>601</v>
      </c>
      <c r="D35" s="11" t="s">
        <v>504</v>
      </c>
      <c r="E35" s="29" t="s">
        <v>602</v>
      </c>
    </row>
    <row r="36" customFormat="false" ht="30" hidden="false" customHeight="true" outlineLevel="0" collapsed="false">
      <c r="A36" s="4" t="s">
        <v>603</v>
      </c>
      <c r="B36" s="4" t="s">
        <v>525</v>
      </c>
      <c r="C36" s="27" t="s">
        <v>604</v>
      </c>
      <c r="D36" s="11" t="s">
        <v>504</v>
      </c>
      <c r="E36" s="29" t="s">
        <v>605</v>
      </c>
    </row>
    <row r="37" customFormat="false" ht="30" hidden="false" customHeight="true" outlineLevel="0" collapsed="false">
      <c r="A37" s="4" t="s">
        <v>606</v>
      </c>
      <c r="B37" s="4" t="s">
        <v>554</v>
      </c>
      <c r="C37" s="27" t="s">
        <v>607</v>
      </c>
      <c r="D37" s="11" t="s">
        <v>504</v>
      </c>
      <c r="E37" s="29" t="s">
        <v>608</v>
      </c>
    </row>
    <row r="38" customFormat="false" ht="30" hidden="false" customHeight="true" outlineLevel="0" collapsed="false">
      <c r="A38" s="4" t="s">
        <v>609</v>
      </c>
      <c r="B38" s="4" t="s">
        <v>554</v>
      </c>
      <c r="C38" s="27" t="s">
        <v>610</v>
      </c>
      <c r="D38" s="56" t="s">
        <v>611</v>
      </c>
      <c r="E38" s="29" t="s">
        <v>612</v>
      </c>
    </row>
    <row r="40" customFormat="false" ht="15" hidden="false" customHeight="false" outlineLevel="0" collapsed="false">
      <c r="C40" s="43" t="s">
        <v>613</v>
      </c>
      <c r="D40" s="43" t="n">
        <f aca="false">COUNTIF(D4:D38,"Corregido")</f>
        <v>32</v>
      </c>
    </row>
    <row r="41" customFormat="false" ht="15" hidden="false" customHeight="false" outlineLevel="0" collapsed="false">
      <c r="C41" s="43" t="s">
        <v>614</v>
      </c>
      <c r="D41" s="43" t="n">
        <f aca="false">COUNTA(D4:D38)-D40</f>
        <v>3</v>
      </c>
    </row>
  </sheetData>
  <dataValidations count="1">
    <dataValidation allowBlank="false" errorStyle="stop" operator="between" showDropDown="false" showErrorMessage="false" showInputMessage="false" sqref="D4:D38" type="list">
      <formula1>"Corregido,Pendiente,Pendiente (decisión),Pendiente (verificar),Pendiente (PAC),Pendiente (texto),Pendiente (web),Pendiente (nuevo)"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2026-10-18T04:38:55Z</dcterms:created>
  <dc:creator>openpyxl</dc:creator>
  <dc:description/>
  <dc:language>en-US</dc:language>
  <cp:lastModifiedBy/>
  <dcterms:modified xsi:type="dcterms:W3CDTF">2026-10-18T04:38:56Z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